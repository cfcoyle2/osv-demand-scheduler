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9406" documentId="8_{8BED3E6F-E7C2-45EA-AB2B-C6B0456C2E64}" xr6:coauthVersionLast="47" xr6:coauthVersionMax="47" xr10:uidLastSave="{7BCAF647-7368-47B7-858C-288D29875442}"/>
  <bookViews>
    <workbookView xWindow="28680" yWindow="-120" windowWidth="29040" windowHeight="17520"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Tracker'!$A$1:$J$174</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102" i="9" l="1"/>
  <c r="I102" i="9" s="1"/>
  <c r="G147" i="9"/>
  <c r="I147" i="9" s="1"/>
  <c r="G154" i="9"/>
  <c r="I154" i="9" s="1"/>
  <c r="G155" i="9"/>
  <c r="I155" i="9" s="1"/>
  <c r="G156" i="9"/>
  <c r="I156" i="9" s="1"/>
  <c r="G153" i="9"/>
  <c r="I153" i="9" s="1"/>
  <c r="G152" i="9"/>
  <c r="I152" i="9" s="1"/>
  <c r="G151" i="9"/>
  <c r="I151" i="9" s="1"/>
  <c r="G150" i="9"/>
  <c r="I150" i="9" s="1"/>
  <c r="G149" i="9"/>
  <c r="I149" i="9" s="1"/>
  <c r="G148" i="9"/>
  <c r="I148" i="9" s="1"/>
  <c r="G100" i="9"/>
  <c r="I100" i="9" s="1"/>
  <c r="G42" i="9"/>
  <c r="I42" i="9" s="1"/>
  <c r="G43" i="9"/>
  <c r="I43" i="9" s="1"/>
  <c r="G115" i="9"/>
  <c r="I115" i="9" s="1"/>
  <c r="G177" i="9"/>
  <c r="I177" i="9" s="1"/>
  <c r="G178" i="9"/>
  <c r="I178" i="9" s="1"/>
  <c r="G176" i="9"/>
  <c r="I176" i="9" s="1"/>
  <c r="G175" i="9"/>
  <c r="I175" i="9" s="1"/>
  <c r="G39" i="9"/>
  <c r="I39" i="9" s="1"/>
  <c r="G40" i="9"/>
  <c r="I40" i="9" s="1"/>
  <c r="G41" i="9"/>
  <c r="G131" i="9"/>
  <c r="I131" i="9" s="1"/>
  <c r="G132" i="9"/>
  <c r="I132" i="9" s="1"/>
  <c r="G130" i="9"/>
  <c r="I130" i="9" s="1"/>
  <c r="G129" i="9"/>
  <c r="I129" i="9" s="1"/>
  <c r="G158" i="9"/>
  <c r="I158" i="9" s="1"/>
  <c r="G144" i="9"/>
  <c r="I144" i="9" s="1"/>
  <c r="G145" i="9"/>
  <c r="I145" i="9" s="1"/>
  <c r="G146" i="9"/>
  <c r="I146" i="9" s="1"/>
  <c r="G157" i="9"/>
  <c r="I157" i="9" s="1"/>
  <c r="G159" i="9"/>
  <c r="I159" i="9" s="1"/>
  <c r="G160" i="9"/>
  <c r="I160" i="9" s="1"/>
  <c r="G161" i="9"/>
  <c r="I161" i="9" s="1"/>
  <c r="G162" i="9"/>
  <c r="I162" i="9" s="1"/>
  <c r="G163" i="9"/>
  <c r="I163" i="9" s="1"/>
  <c r="G164" i="9"/>
  <c r="I164" i="9" s="1"/>
  <c r="G165" i="9"/>
  <c r="I165" i="9" s="1"/>
  <c r="G166" i="9"/>
  <c r="I166" i="9" s="1"/>
  <c r="G167" i="9"/>
  <c r="I167" i="9" s="1"/>
  <c r="G168" i="9"/>
  <c r="I168" i="9" s="1"/>
  <c r="G169" i="9"/>
  <c r="I169" i="9" s="1"/>
  <c r="G170" i="9"/>
  <c r="I170" i="9" s="1"/>
  <c r="G171" i="9"/>
  <c r="I171" i="9" s="1"/>
  <c r="G172" i="9"/>
  <c r="I172" i="9" s="1"/>
  <c r="G173" i="9"/>
  <c r="I173" i="9" s="1"/>
  <c r="G174" i="9"/>
  <c r="I174" i="9" s="1"/>
  <c r="G20" i="9"/>
  <c r="G21" i="9"/>
  <c r="G137" i="9"/>
  <c r="I137" i="9" s="1"/>
  <c r="G138" i="9"/>
  <c r="I138" i="9" s="1"/>
  <c r="G139" i="9"/>
  <c r="I139" i="9" s="1"/>
  <c r="G140" i="9"/>
  <c r="I140" i="9" s="1"/>
  <c r="G141" i="9"/>
  <c r="I141" i="9" s="1"/>
  <c r="G142" i="9"/>
  <c r="I142" i="9" s="1"/>
  <c r="G143" i="9"/>
  <c r="I143" i="9" s="1"/>
  <c r="G128" i="9"/>
  <c r="I128" i="9" s="1"/>
  <c r="G127" i="9"/>
  <c r="G121" i="9"/>
  <c r="I121" i="9" s="1"/>
  <c r="G122" i="9"/>
  <c r="I122" i="9" s="1"/>
  <c r="G123" i="9"/>
  <c r="I123" i="9" s="1"/>
  <c r="G44" i="9"/>
  <c r="I44" i="9" s="1"/>
  <c r="G45" i="9"/>
  <c r="I45" i="9" s="1"/>
  <c r="G46" i="9"/>
  <c r="I46" i="9" s="1"/>
  <c r="G47" i="9"/>
  <c r="I47" i="9" s="1"/>
  <c r="G48" i="9"/>
  <c r="I48" i="9" s="1"/>
  <c r="G49" i="9"/>
  <c r="I49" i="9" s="1"/>
  <c r="G50" i="9"/>
  <c r="I50" i="9" s="1"/>
  <c r="G125" i="9"/>
  <c r="I125" i="9" s="1"/>
  <c r="G105" i="9"/>
  <c r="I105" i="9" s="1"/>
  <c r="G134" i="9"/>
  <c r="I134" i="9" s="1"/>
  <c r="G133" i="9"/>
  <c r="I133" i="9" s="1"/>
  <c r="G135" i="9"/>
  <c r="I135" i="9" s="1"/>
  <c r="G136" i="9"/>
  <c r="I136" i="9" s="1"/>
  <c r="G114" i="9"/>
  <c r="I114" i="9" s="1"/>
  <c r="G116" i="9"/>
  <c r="I116" i="9" s="1"/>
  <c r="G117" i="9"/>
  <c r="I117" i="9" s="1"/>
  <c r="G118" i="9"/>
  <c r="I118" i="9" s="1"/>
  <c r="G119" i="9"/>
  <c r="I119" i="9" s="1"/>
  <c r="G120" i="9"/>
  <c r="I120" i="9" s="1"/>
  <c r="G124" i="9"/>
  <c r="I124" i="9" s="1"/>
  <c r="G126" i="9"/>
  <c r="G101" i="9"/>
  <c r="I101" i="9" s="1"/>
  <c r="G103" i="9"/>
  <c r="I103" i="9" s="1"/>
  <c r="G104" i="9"/>
  <c r="I104" i="9" s="1"/>
  <c r="G106" i="9"/>
  <c r="I106" i="9" s="1"/>
  <c r="G98" i="9"/>
  <c r="I98" i="9" s="1"/>
  <c r="G99" i="9"/>
  <c r="I99" i="9" s="1"/>
  <c r="G38" i="9"/>
  <c r="I38" i="9" s="1"/>
  <c r="G113" i="9"/>
  <c r="I113" i="9" s="1"/>
  <c r="G18" i="9"/>
  <c r="I18" i="9" s="1"/>
  <c r="G17" i="9"/>
  <c r="I17" i="9" s="1"/>
  <c r="G93" i="9"/>
  <c r="I93" i="9" s="1"/>
  <c r="G91" i="9"/>
  <c r="I91" i="9" s="1"/>
  <c r="G19" i="9"/>
  <c r="I19" i="9" s="1"/>
  <c r="G31" i="9" l="1"/>
  <c r="I31" i="9" s="1"/>
  <c r="G90" i="9" l="1"/>
  <c r="I90" i="9" s="1"/>
  <c r="G29" i="9"/>
  <c r="I29" i="9" s="1"/>
  <c r="G16" i="9" l="1"/>
  <c r="G28" i="9"/>
  <c r="I28" i="9" s="1"/>
  <c r="G15" i="9"/>
  <c r="I15" i="9" s="1"/>
  <c r="G88" i="9"/>
  <c r="I88" i="9" s="1"/>
  <c r="G96" i="9"/>
  <c r="I96" i="9" s="1"/>
  <c r="G27" i="9"/>
  <c r="I27" i="9" s="1"/>
  <c r="G30" i="9"/>
  <c r="I30" i="9" s="1"/>
  <c r="G32" i="9"/>
  <c r="I32" i="9" s="1"/>
  <c r="G33" i="9"/>
  <c r="I33" i="9" s="1"/>
  <c r="G34" i="9"/>
  <c r="I34" i="9" s="1"/>
  <c r="G14" i="9"/>
  <c r="I14" i="9" s="1"/>
  <c r="G35" i="9"/>
  <c r="I35" i="9" s="1"/>
  <c r="G36" i="9"/>
  <c r="I36" i="9" s="1"/>
  <c r="G37" i="9"/>
  <c r="I37" i="9" s="1"/>
  <c r="I41" i="9"/>
  <c r="G87" i="9"/>
  <c r="I87" i="9" s="1"/>
  <c r="G86" i="9"/>
  <c r="I86" i="9" s="1"/>
  <c r="G67" i="9"/>
  <c r="I67" i="9" s="1"/>
  <c r="G66" i="9"/>
  <c r="I66" i="9" s="1"/>
  <c r="G13" i="9"/>
  <c r="I13" i="9" s="1"/>
  <c r="I16" i="9" l="1"/>
  <c r="G84" i="9"/>
  <c r="I84" i="9" s="1"/>
  <c r="G95" i="9"/>
  <c r="I95" i="9" s="1"/>
  <c r="G97" i="9"/>
  <c r="I97" i="9" s="1"/>
  <c r="G82" i="9"/>
  <c r="I82" i="9" s="1"/>
  <c r="G12" i="9"/>
  <c r="I12" i="9" s="1"/>
  <c r="G65" i="9"/>
  <c r="I65" i="9" s="1"/>
  <c r="G11" i="9" l="1"/>
  <c r="I11" i="9" s="1"/>
  <c r="G10" i="9"/>
  <c r="I10" i="9" s="1"/>
  <c r="G9" i="9"/>
  <c r="I9" i="9" s="1"/>
  <c r="G56" i="9" l="1"/>
  <c r="I56" i="9" s="1"/>
  <c r="G7" i="9"/>
  <c r="I7" i="9" s="1"/>
  <c r="G8" i="9"/>
  <c r="I8" i="9" s="1"/>
  <c r="G80" i="9"/>
  <c r="I80" i="9" s="1"/>
  <c r="G4" i="9"/>
  <c r="I4" i="9" s="1"/>
  <c r="G109" i="9"/>
  <c r="I109" i="9" s="1"/>
  <c r="G110" i="9"/>
  <c r="I110" i="9" s="1"/>
  <c r="G111" i="9"/>
  <c r="I111" i="9" s="1"/>
  <c r="G112" i="9"/>
  <c r="I112" i="9" s="1"/>
  <c r="G107" i="9"/>
  <c r="I107" i="9" s="1"/>
  <c r="G108" i="9"/>
  <c r="I108" i="9" s="1"/>
  <c r="G79" i="9"/>
  <c r="I79" i="9" s="1"/>
  <c r="G74" i="9"/>
  <c r="I74" i="9" s="1"/>
  <c r="G75" i="9"/>
  <c r="I75" i="9" s="1"/>
  <c r="G73" i="9"/>
  <c r="I73" i="9" s="1"/>
  <c r="G72" i="9"/>
  <c r="I72" i="9" s="1"/>
  <c r="G71" i="9"/>
  <c r="I71" i="9" s="1"/>
  <c r="G70" i="9"/>
  <c r="I70" i="9" s="1"/>
  <c r="G69" i="9"/>
  <c r="I69" i="9" s="1"/>
  <c r="G68" i="9"/>
  <c r="I68" i="9" s="1"/>
  <c r="G76" i="9"/>
  <c r="I76" i="9" s="1"/>
  <c r="G77" i="9"/>
  <c r="I77" i="9" s="1"/>
  <c r="G78" i="9"/>
  <c r="I78" i="9" s="1"/>
  <c r="G81" i="9"/>
  <c r="I81" i="9" s="1"/>
  <c r="G83" i="9"/>
  <c r="I83" i="9" s="1"/>
  <c r="G85" i="9"/>
  <c r="I85" i="9" s="1"/>
  <c r="G89" i="9"/>
  <c r="I89" i="9" s="1"/>
  <c r="G92" i="9"/>
  <c r="I92" i="9" s="1"/>
  <c r="G94" i="9"/>
  <c r="I94" i="9" s="1"/>
  <c r="G58" i="9"/>
  <c r="I58" i="9" s="1"/>
  <c r="G59" i="9"/>
  <c r="I59" i="9" s="1"/>
  <c r="G60" i="9"/>
  <c r="I60" i="9" s="1"/>
  <c r="G61" i="9"/>
  <c r="I61" i="9" s="1"/>
  <c r="G62" i="9"/>
  <c r="I62" i="9" s="1"/>
  <c r="G63" i="9"/>
  <c r="I63" i="9" s="1"/>
  <c r="G64" i="9"/>
  <c r="I64" i="9" s="1"/>
  <c r="G3" i="9"/>
  <c r="I3" i="9" s="1"/>
  <c r="G5" i="9"/>
  <c r="I5" i="9" s="1"/>
  <c r="G6" i="9"/>
  <c r="I6" i="9" s="1"/>
  <c r="I20" i="9"/>
  <c r="I21" i="9"/>
  <c r="G22" i="9"/>
  <c r="I22" i="9" s="1"/>
  <c r="G23" i="9"/>
  <c r="I23" i="9" s="1"/>
  <c r="G24" i="9"/>
  <c r="I24" i="9" s="1"/>
  <c r="G25" i="9"/>
  <c r="I25" i="9" s="1"/>
  <c r="G26" i="9"/>
  <c r="I26" i="9" s="1"/>
  <c r="G51" i="9"/>
  <c r="I51" i="9" s="1"/>
  <c r="G52" i="9"/>
  <c r="I52" i="9" s="1"/>
  <c r="G53" i="9"/>
  <c r="I53" i="9" s="1"/>
  <c r="G54" i="9"/>
  <c r="I54" i="9" s="1"/>
  <c r="G55" i="9"/>
  <c r="I55" i="9" s="1"/>
  <c r="G57" i="9"/>
  <c r="I57"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<sst xmlns="http://schemas.openxmlformats.org/spreadsheetml/2006/main" count="1242" uniqueCount="488">
  <si>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</si>
  <si>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</si>
  <si>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</si>
  <si>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</si>
  <si>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</si>
  <si>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</si>
  <si>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</si>
  <si>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</si>
  <si>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</si>
  <si>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</si>
  <si>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</si>
  <si>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</si>
  <si>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</si>
  <si>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</si>
  <si>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</si>
  <si>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</si>
  <si>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</si>
  <si>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</si>
  <si>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</si>
  <si>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</si>
  <si>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</si>
  <si>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</si>
  <si>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</si>
  <si>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</si>
  <si>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</si>
  <si>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</si>
  <si>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</si>
  <si>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</si>
  <si>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</si>
  <si>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</si>
  <si>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</si>
  <si>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</si>
  <si>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</si>
  <si>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</si>
  <si>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</si>
  <si>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</si>
  <si>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</si>
  <si>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</si>
  <si>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</si>
  <si>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</si>
  <si>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</si>
  <si>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</si>
  <si>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</si>
  <si>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</si>
  <si>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</si>
  <si>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</si>
  <si>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</si>
  <si>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</si>
  <si>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</si>
  <si>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</si>
  <si>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</si>
  <si>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</si>
  <si>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</si>
  <si>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</si>
  <si>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</si>
  <si>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</si>
  <si>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</si>
  <si>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</si>
  <si>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</si>
  <si>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</si>
  <si>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</si>
  <si>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</si>
  <si>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</si>
  <si>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</si>
  <si>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</si>
  <si>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</si>
  <si>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</si>
  <si>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</si>
  <si>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</si>
  <si>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</si>
  <si>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</si>
  <si>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</si>
  <si>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</si>
  <si>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</si>
  <si>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</si>
  <si>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</si>
  <si>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</si>
  <si>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</si>
  <si>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</si>
  <si>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</si>
  <si>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</si>
  <si>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</si>
  <si>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</si>
  <si>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</si>
  <si>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</si>
  <si>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</si>
  <si>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</si>
  <si>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</si>
  <si>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</si>
  <si>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</si>
  <si>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</si>
  <si>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</si>
  <si>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</si>
  <si>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</si>
  <si>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</si>
  <si>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</si>
  <si>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</si>
  <si>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</si>
  <si>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</si>
  <si>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</si>
  <si>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</si>
  <si>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</si>
  <si>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</si>
  <si>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</si>
  <si>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</si>
  <si>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</si>
  <si>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</si>
  <si>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</si>
  <si>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</si>
  <si>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</si>
  <si>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</si>
  <si>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</si>
  <si>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</si>
  <si>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</si>
  <si>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</si>
  <si>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</si>
  <si>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</si>
  <si>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</si>
  <si>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</si>
  <si>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</si>
  <si>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</si>
  <si>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</si>
  <si>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</si>
  <si>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</si>
  <si>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</si>
  <si>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</si>
  <si>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</si>
  <si>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</si>
  <si>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</si>
  <si>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</si>
  <si>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</si>
  <si>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</si>
  <si>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</si>
  <si>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</si>
  <si>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</si>
  <si>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</si>
  <si>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</si>
  <si>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</si>
  <si>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</si>
  <si>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</si>
  <si>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</si>
  <si>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</si>
  <si>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</si>
  <si>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</si>
  <si>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</si>
  <si>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</si>
  <si>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</si>
  <si>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</si>
  <si>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</si>
  <si>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</si>
  <si>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</si>
  <si>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</si>
  <si>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</si>
  <si>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</si>
  <si>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</si>
  <si>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</si>
  <si>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</si>
  <si>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</si>
  <si>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</si>
  <si>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</si>
  <si>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</si>
  <si>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</si>
  <si>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</si>
  <si>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</si>
  <si>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</si>
  <si>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</si>
  <si>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</si>
  <si>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</si>
  <si>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</si>
  <si>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</si>
  <si>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</si>
  <si>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</si>
  <si>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</si>
  <si>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</si>
  <si>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</si>
  <si>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</si>
  <si>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</si>
  <si>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</si>
  <si>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</si>
  <si>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</si>
  <si>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</si>
  <si>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</si>
  <si>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</si>
  <si>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</si>
  <si>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</si>
  <si>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</si>
  <si>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</si>
  <si>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</si>
  <si>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</si>
  <si>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</si>
  <si>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</si>
  <si>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</si>
  <si>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</si>
  <si>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</si>
  <si>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</si>
  <si>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</si>
  <si>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</si>
  <si>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</si>
  <si>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</si>
  <si>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</si>
  <si>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</si>
  <si>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</si>
  <si>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</si>
  <si>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</si>
  <si>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</si>
  <si>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</si>
  <si>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</si>
  <si>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</si>
  <si>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</si>
  <si>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</si>
  <si>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</si>
  <si>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</si>
  <si>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</si>
  <si>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</si>
  <si>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</si>
  <si>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</si>
  <si>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</si>
  <si>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</si>
  <si>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</si>
  <si>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</si>
  <si>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</si>
  <si>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</si>
  <si>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</si>
  <si>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</si>
  <si>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</si>
  <si>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</si>
  <si>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</si>
  <si>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</si>
  <si>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</si>
  <si>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</si>
  <si>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</si>
  <si>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</si>
  <si>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</si>
  <si>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</si>
  <si>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</si>
  <si>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</si>
  <si>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</si>
  <si>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</si>
  <si>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</si>
  <si>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</si>
  <si>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</si>
  <si>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</si>
  <si>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</si>
  <si>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</si>
  <si>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</si>
  <si>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</si>
  <si>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</si>
  <si>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</si>
  <si>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</si>
  <si>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</si>
  <si>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</si>
  <si>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</si>
  <si>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</si>
  <si>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</si>
  <si>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</si>
  <si>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</si>
  <si>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</si>
  <si>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</si>
  <si>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</si>
  <si>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</si>
  <si>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</si>
  <si>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</si>
  <si>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</si>
  <si>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</si>
  <si>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</si>
  <si>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</si>
  <si>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</si>
  <si>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</si>
  <si>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</si>
  <si>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</si>
  <si>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</si>
  <si>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</si>
  <si>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</si>
  <si>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</si>
  <si>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</si>
  <si>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</si>
  <si>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</si>
  <si>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</si>
  <si>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</si>
  <si>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</si>
  <si>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</si>
  <si>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GL 05 OSV / 48hrs: 12.25" BHA / SBM</t>
  </si>
  <si>
    <t xml:space="preserve">	
GL 04d OSV / 24 HRS: 14.5"x16.5" BHA / SBM</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</si>
  <si>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</si>
  <si>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</si>
  <si>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</si>
  <si>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</si>
  <si>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</si>
  <si>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</si>
  <si>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</si>
  <si>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</si>
  <si>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</si>
  <si>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</si>
  <si>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</si>
  <si>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</si>
  <si>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</si>
  <si>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</si>
  <si>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</si>
  <si>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</si>
  <si>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</si>
  <si>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</si>
  <si>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</si>
  <si>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</si>
  <si>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</si>
  <si>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</si>
  <si>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</si>
  <si>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</si>
  <si>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</si>
  <si>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</si>
  <si>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</si>
  <si>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</si>
  <si>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</si>
  <si>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</si>
  <si>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</si>
  <si>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</si>
  <si>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</si>
  <si>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</si>
  <si>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</si>
  <si>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</si>
  <si>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</si>
  <si>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</si>
  <si>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</si>
  <si>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</si>
  <si>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</si>
  <si>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</si>
  <si>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</si>
  <si>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</si>
  <si>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</si>
  <si>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</si>
  <si>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</si>
  <si>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</si>
  <si>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</si>
  <si>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</si>
  <si>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</si>
  <si>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</si>
  <si>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</si>
  <si>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</si>
  <si>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</si>
  <si>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</si>
  <si>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</si>
  <si>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</si>
  <si>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</si>
  <si>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</si>
  <si>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</si>
  <si>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</si>
  <si>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</si>
  <si>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</si>
  <si>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	
GL 08d OSV- 30 Hours - Demob / Misc Cargo / Sparta 203 Drill Pipe</t>
  </si>
  <si>
    <t xml:space="preserve">Sparta SP203- Bypass </t>
  </si>
  <si>
    <t xml:space="preserve">	
GL 01 OSV-36 Hours- Packer Retrieval / WBCO / SBM / Cement / Drill Pipe</t>
  </si>
  <si>
    <t>GL 03 OSV-60 Hours- 10.05" Doubles &amp; Singles / Cement</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</si>
  <si>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</si>
  <si>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</si>
  <si>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</si>
  <si>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</si>
  <si>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</si>
  <si>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</si>
  <si>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</si>
  <si>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</si>
  <si>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</si>
  <si>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</si>
  <si>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</si>
  <si>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</si>
  <si>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</si>
  <si>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NVOY Dummy Well - Rig Acceptance </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</si>
  <si>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</si>
  <si>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</si>
  <si>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</si>
  <si>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</si>
  <si>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</si>
  <si>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</si>
  <si>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</si>
  <si>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</si>
  <si>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</si>
  <si>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</si>
  <si>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</si>
  <si>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</si>
  <si>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</si>
  <si>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</si>
  <si>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</si>
  <si>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</si>
  <si>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</si>
  <si>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</si>
  <si>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</si>
  <si>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</si>
  <si>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GL 06 Run Upper Tieback</t>
  </si>
  <si>
    <t>MB 09 Completions</t>
  </si>
  <si>
    <t>GL 01 Set Sump Packer on E-line</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</si>
  <si>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</si>
  <si>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</si>
  <si>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</si>
  <si>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</si>
  <si>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</si>
  <si>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</si>
  <si>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</si>
  <si>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</si>
  <si>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</si>
  <si>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</si>
  <si>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03 OSV / 24 hrs / 26" BHA, 28" Conductor, 28" Casing Tools, 28" Backups, 5,000 bbl of 16 ppg WBM, 1,500 Sacks of Gel **MC477**</t>
  </si>
  <si>
    <t>GL 04 OSV / 36 hrs / 10,000 bbl of 16 ppg WBM, 22" Casing, 22" Casing Tools, 22" HPWHH</t>
  </si>
  <si>
    <t>GL 07 OSV / 24 hrs / TBD bbl of TBD ppg SBM, SBM Chemicals, 18-1/8" x 21" BHA, 18" Casing, 18" Liner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</si>
  <si>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</si>
  <si>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</si>
  <si>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</si>
  <si>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</si>
  <si>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GA23 Slot Recovery</t>
  </si>
  <si>
    <t>GA23 Drill Bypass</t>
  </si>
  <si>
    <t>GL 02 Post Idle Period ll Drill 12 1/4" hole section</t>
  </si>
  <si>
    <t>H&amp;P 205 Rig Idle</t>
  </si>
  <si>
    <t>GL 05 OSV / H&amp;P 2nd start up vessel 96 Hours</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</si>
  <si>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</si>
  <si>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</si>
  <si>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</si>
  <si>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</si>
  <si>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</si>
  <si>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A-23 Slot Recovery</t>
  </si>
  <si>
    <t>GL 07 Install 13-5/8" TA Packer, N/D BOPs, Run Inner Drilling Riser</t>
  </si>
  <si>
    <t>A-23 St2 Drill</t>
  </si>
  <si>
    <t>GL 02 Drill 12.25" x 14.75" Hole section</t>
  </si>
  <si>
    <t>GL 03 Run 11-7/8" Liner and Cement</t>
  </si>
  <si>
    <t>GL 04 Drill 10.625" Pilot Hole section</t>
  </si>
  <si>
    <t>GL 05 Abandon 10.625" Pilot Hole</t>
  </si>
  <si>
    <t>GL 06 Drill 10.625" Sidetrack Hole section</t>
  </si>
  <si>
    <t xml:space="preserve">	
GL 07 Install 7-5/8" Liner</t>
  </si>
  <si>
    <t xml:space="preserve">	
GL 08 TA Well and Pull Inner Drilling Riser</t>
  </si>
  <si>
    <t>GL 09 Install Lower Tieback</t>
  </si>
  <si>
    <t>GL 10 TA Well, Pull ODR, Run Production Riser</t>
  </si>
  <si>
    <t xml:space="preserve">	
GL 11 Run Upper Tieback</t>
  </si>
  <si>
    <t xml:space="preserve">Vito VA-12 Drift/ CTCO/ Stim </t>
  </si>
  <si>
    <t xml:space="preserve">GL 02 Harvey America- Milk Run and Rig Fuel </t>
  </si>
  <si>
    <t>Vito VA-11 Drift/ CTCO</t>
  </si>
  <si>
    <t>GL 03 OSV Pre-Mob OWIRS and Groceries</t>
  </si>
  <si>
    <t>Vito VA-11 Drift/ CTCO to VA-10</t>
  </si>
  <si>
    <t>Dark Vision for VA-10</t>
  </si>
  <si>
    <t>Vito VA-10 Drift/ CTCO</t>
  </si>
  <si>
    <t>GL 04 FSV/OSV Complete De-Mob (Groceries and Supplies)</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</si>
  <si>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</si>
  <si>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</si>
  <si>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</si>
  <si>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</si>
  <si>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</si>
  <si>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</si>
  <si>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</si>
  <si>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</si>
  <si>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</si>
  <si>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</si>
  <si>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</si>
  <si>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</si>
  <si>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</si>
  <si>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</si>
  <si>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</si>
  <si>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</si>
  <si>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</si>
  <si>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</si>
  <si>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</si>
  <si>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</si>
  <si>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</si>
  <si>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</si>
  <si>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</si>
  <si>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</si>
  <si>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</si>
  <si>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</si>
  <si>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</si>
  <si>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</si>
  <si>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</si>
  <si>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</si>
  <si>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</si>
  <si>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</si>
  <si>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</si>
  <si>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03 Install Upper Completion, Install Hanger</t>
  </si>
  <si>
    <t>GL 01 OSV / slot recovery equipment 72hrs On Location.</t>
  </si>
  <si>
    <t>GL 03 OSV / 11 3/4'' x 11 7/8'' casing run</t>
  </si>
  <si>
    <t>GL 04 OSV / Drill 10 1/4'' x 12 1/4''</t>
  </si>
  <si>
    <t>GL 05 OSV / 9 5/8'' Expandable casing section</t>
  </si>
  <si>
    <t>GL 06 OSV Drill 9 1/2'' x11'' section and 8 5/8 expandable liner</t>
  </si>
  <si>
    <t>GL 07 OSV 8 1/2 x 9 7/8'' Drill section</t>
  </si>
  <si>
    <t>GL 08 OSV 7 5/8'' Liner Section and Install Packer</t>
  </si>
  <si>
    <t>GL 09 OSV / THS installation</t>
  </si>
  <si>
    <t>GL 30 Holding at Port</t>
  </si>
  <si>
    <t>GA023 Drill ByPass</t>
  </si>
  <si>
    <t>GL 02 OSV / Drill 12 1/4''x 14 3/4'' section</t>
  </si>
  <si>
    <t>GL 02 OSV-24 Hours- Whipstock BHA / SLB 12-1/4" BHA</t>
  </si>
  <si>
    <t>GL 04 OSV-48 Hours- Tieback Casing / Cement</t>
  </si>
  <si>
    <t>GL 04a OSV 48 Hours - Expert Riser (55 joints Riser)</t>
  </si>
  <si>
    <t>GL 01 OSV - Landing String, Groceries, Supplies, BL 23jts Riser</t>
  </si>
  <si>
    <t>GL 02 OSV - Vendor Rig Up Supplies, BL 23jts Riser</t>
  </si>
  <si>
    <t xml:space="preserve">	
GL 05 OSV / 48 hrs / 15,000 bbl of 16 ppg WBM</t>
  </si>
  <si>
    <t>GL 11 OSV / 24 hrs / 12-1/4" &amp; 11.97" Casing, Casing Rack Back Tools, 12-1/4" Hanger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</si>
</sst>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81">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39"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27" fillId="0" borderId="46" xfId="0" applyFont="1" applyBorder="1" applyAlignment="1">
      <alignment horizontal="left" vertical="center"/>
    </xf>
    <xf numFmtId="0" fontId="27" fillId="0" borderId="39" xfId="0" applyFont="1" applyBorder="1">
      <alignment horizontal="center" vertical="center"/>
    </xf>
    <xf numFmtId="14" fontId="27" fillId="0" borderId="39" xfId="0" applyNumberFormat="1" applyFont="1" applyBorder="1">
      <alignment horizontal="center" vertical="center"/>
    </xf>
    <xf numFmtId="22" fontId="27" fillId="0" borderId="39" xfId="0" applyNumberFormat="1" applyFont="1" applyBorder="1">
      <alignment horizontal="center" vertical="center"/>
    </xf>
    <xf numFmtId="0" fontId="27" fillId="0" borderId="47" xfId="0" applyFont="1" applyBorder="1">
      <alignment horizontal="center" vertical="center"/>
    </xf>
    <xf numFmtId="0" fontId="27" fillId="0" borderId="30" xfId="0" applyFont="1" applyBorder="1">
      <alignment horizontal="center" vertical="center"/>
    </xf>
    <xf numFmtId="0" fontId="27" fillId="0" borderId="69" xfId="0" applyFont="1" applyBorder="1" applyAlignment="1">
      <alignment horizontal="left" vertical="center"/>
    </xf>
    <xf numFmtId="0" fontId="27" fillId="0" borderId="69" xfId="0" applyFont="1" applyBorder="1" applyAlignment="1">
      <alignment horizontal="left" vertical="top"/>
    </xf>
    <xf numFmtId="0" fontId="27" fillId="0" borderId="69" xfId="0" applyFont="1" applyBorder="1">
      <alignment horizontal="center" vertical="center"/>
    </xf>
    <xf numFmtId="22" fontId="27" fillId="0" borderId="69" xfId="0" applyNumberFormat="1" applyFont="1" applyBorder="1">
      <alignment horizontal="center" vertical="center"/>
    </xf>
    <xf numFmtId="14" fontId="27" fillId="0" borderId="69" xfId="0" applyNumberFormat="1" applyFont="1" applyBorder="1">
      <alignment horizontal="center" vertical="center"/>
    </xf>
    <xf numFmtId="0" fontId="27" fillId="0" borderId="17" xfId="0" applyFont="1" applyBorder="1" applyAlignment="1">
      <alignment horizontal="center"/>
    </xf>
    <xf numFmtId="0" fontId="27" fillId="0" borderId="36" xfId="0" applyFont="1" applyBorder="1" applyAlignment="1">
      <alignment horizontal="left" vertical="center" wrapText="1"/>
    </xf>
    <xf numFmtId="0" fontId="10" fillId="0" borderId="17" xfId="0" applyFont="1" applyBorder="1" applyAlignment="1">
      <alignment horizontal="left" vertical="center" wrapText="1"/>
    </xf>
    <xf numFmtId="14" fontId="10" fillId="0" borderId="15" xfId="0" applyNumberFormat="1" applyFont="1" applyBorder="1" applyAlignment="1">
      <alignment horizontal="left" vertical="center"/>
    </xf>
    <xf numFmtId="0" fontId="10" fillId="0" borderId="5" xfId="0" applyFont="1" applyBorder="1" applyAlignment="1">
      <alignment horizontal="left" wrapText="1"/>
    </xf>
    <xf numFmtId="0" fontId="10" fillId="0" borderId="50" xfId="0" applyFont="1" applyBorder="1" applyAlignment="1">
      <alignment horizontal="left" vertical="center" wrapText="1"/>
    </xf>
    <xf numFmtId="0" fontId="27" fillId="0" borderId="17" xfId="0" applyFont="1" applyFill="1" applyBorder="1" applyAlignment="1">
      <alignment horizontal="left" vertical="center"/>
    </xf>
    <xf numFmtId="0" fontId="27" fillId="0" borderId="5" xfId="0" applyFont="1" applyFill="1" applyBorder="1">
      <alignment horizontal="center" vertical="center"/>
    </xf>
    <xf numFmtId="0" fontId="27" fillId="0" borderId="5" xfId="0" applyFont="1" applyFill="1" applyBorder="1" applyAlignment="1">
      <alignment horizontal="left" vertical="center"/>
    </xf>
    <xf numFmtId="0" fontId="27" fillId="0" borderId="5" xfId="0" applyFont="1" applyFill="1" applyBorder="1" applyAlignment="1">
      <alignment horizontal="left" vertical="top"/>
    </xf>
    <xf numFmtId="14" fontId="10" fillId="0" borderId="5" xfId="0" applyNumberFormat="1" applyFont="1" applyFill="1" applyBorder="1">
      <alignment horizontal="center" vertical="center"/>
    </xf>
    <xf numFmtId="22" fontId="10" fillId="0" borderId="5" xfId="0" applyNumberFormat="1" applyFont="1" applyFill="1" applyBorder="1">
      <alignment horizontal="center" vertical="center"/>
    </xf>
    <xf numFmtId="14" fontId="27" fillId="0" borderId="5" xfId="0" applyNumberFormat="1" applyFont="1" applyFill="1" applyBorder="1">
      <alignment horizontal="center" vertical="center"/>
    </xf>
    <xf numFmtId="22" fontId="27" fillId="0" borderId="17" xfId="0" applyNumberFormat="1" applyFont="1" applyFill="1" applyBorder="1">
      <alignment horizontal="center" vertical="center"/>
    </xf>
    <xf numFmtId="22" fontId="27" fillId="0" borderId="5" xfId="0" applyNumberFormat="1" applyFont="1" applyFill="1" applyBorder="1">
      <alignment horizontal="center" vertical="center"/>
    </xf>
    <xf numFmtId="0" fontId="27" fillId="0" borderId="0" xfId="0" applyFont="1" applyFill="1">
      <alignment horizontal="center" vertical="center"/>
    </xf>
    <xf numFmtId="0" fontId="27" fillId="0" borderId="16" xfId="0" applyFont="1" applyFill="1" applyBorder="1" applyAlignment="1">
      <alignment horizontal="left" vertical="center"/>
    </xf>
    <xf numFmtId="0" fontId="27" fillId="0" borderId="15" xfId="0" applyFont="1" applyFill="1" applyBorder="1">
      <alignment horizontal="center" vertical="center"/>
    </xf>
    <xf numFmtId="0" fontId="27" fillId="0" borderId="15" xfId="0" applyFont="1" applyFill="1" applyBorder="1" applyAlignment="1">
      <alignment horizontal="left" vertical="center"/>
    </xf>
    <xf numFmtId="0" fontId="27" fillId="0" borderId="15" xfId="0" applyFont="1" applyFill="1" applyBorder="1" applyAlignment="1">
      <alignment horizontal="left" vertical="top"/>
    </xf>
    <xf numFmtId="14" fontId="10" fillId="0" borderId="15" xfId="0" applyNumberFormat="1" applyFont="1" applyFill="1" applyBorder="1">
      <alignment horizontal="center" vertical="center"/>
    </xf>
    <xf numFmtId="22" fontId="10" fillId="0" borderId="15" xfId="0" applyNumberFormat="1" applyFont="1" applyFill="1" applyBorder="1">
      <alignment horizontal="center" vertical="center"/>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0" fontId="19" fillId="31" borderId="49" xfId="0" applyFont="1" applyFill="1" applyBorder="1">
      <alignment horizontal="center" vertical="center"/>
    </xf>
    <xf numFmtId="0" fontId="19" fillId="34" borderId="49" xfId="0" applyFont="1" applyFill="1" applyBorder="1">
      <alignment horizontal="center" vertical="center"/>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2" xfId="0" applyFont="1" applyFill="1" applyBorder="1">
      <alignment horizontal="center" vertical="center"/>
    </xf>
    <xf numFmtId="0" fontId="5" fillId="16" borderId="43"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0" fontId="19" fillId="13" borderId="49"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6" xfId="0" applyBorder="1">
      <alignment horizontal="center" vertical="center"/>
    </xf>
    <xf numFmtId="0" fontId="0" fillId="0" borderId="48" xfId="0" applyBorder="1">
      <alignment horizontal="center" vertical="center"/>
    </xf>
    <xf numFmtId="0" fontId="0" fillId="0" borderId="60" xfId="0" applyBorder="1">
      <alignment horizontal="center" vertical="center"/>
    </xf>
    <xf numFmtId="0" fontId="0" fillId="0" borderId="38" xfId="0" applyBorder="1">
      <alignment horizontal="center" vertical="center"/>
    </xf>
    <xf numFmtId="0" fontId="0" fillId="0" borderId="41" xfId="0" applyBorder="1">
      <alignment horizontal="center" vertical="center"/>
    </xf>
    <xf numFmtId="0" fontId="10" fillId="0" borderId="46" xfId="0" applyFont="1" applyBorder="1">
      <alignment horizontal="center" vertical="center"/>
    </xf>
    <xf numFmtId="0" fontId="10" fillId="0" borderId="48" xfId="0" applyFont="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20:104467914667:ADDBACK:NO::P320_PORT_TASK_ID:60769:" TargetMode="External"/><Relationship Id="rId13" Type="http://schemas.openxmlformats.org/officeDocument/2006/relationships/vmlDrawing" Target="../drawings/vmlDrawing1.vml"/><Relationship Id="rId3" Type="http://schemas.openxmlformats.org/officeDocument/2006/relationships/hyperlink" Target="https://app01.kabal.com/mws/f?p=1720:320:3591087192783:ADDBACK:NO::P320_PORT_TASK_ID:60705:" TargetMode="External"/><Relationship Id="rId7" Type="http://schemas.openxmlformats.org/officeDocument/2006/relationships/hyperlink" Target="https://app01.kabal.com/mws/f?p=1720:320:104467914667:ADDBACK:NO::P320_PORT_TASK_ID:60768:" TargetMode="External"/><Relationship Id="rId12" Type="http://schemas.openxmlformats.org/officeDocument/2006/relationships/printerSettings" Target="../printerSettings/printerSettings3.bin"/><Relationship Id="rId2" Type="http://schemas.openxmlformats.org/officeDocument/2006/relationships/hyperlink" Target="https://app01.kabal.com/mws/f?p=1720:320:3591087192783:ADDBACK:NO::P320_PORT_TASK_ID:60704:" TargetMode="External"/><Relationship Id="rId1" Type="http://schemas.openxmlformats.org/officeDocument/2006/relationships/hyperlink" Target="https://app01.kabal.com/mws/f?p=1720:320:3591087192783:ADDBACK:NO::P320_PORT_TASK_ID:60703:" TargetMode="External"/><Relationship Id="rId6" Type="http://schemas.openxmlformats.org/officeDocument/2006/relationships/hyperlink" Target="https://app01.kabal.com/mws/f?p=1720:319:10909300082180::::WELS_ROOT_PORT_TASK_ID:59255" TargetMode="External"/><Relationship Id="rId11" Type="http://schemas.openxmlformats.org/officeDocument/2006/relationships/hyperlink" Target="https://app01.kabal.com/mws/f?p=1720:320:104467914667:ADDBACK:NO::P320_PORT_TASK_ID:60772:" TargetMode="External"/><Relationship Id="rId5" Type="http://schemas.openxmlformats.org/officeDocument/2006/relationships/hyperlink" Target="https://app01.kabal.com/mws/f?p=1720:320:3591087192783:ADDBACK:NO::P320_PORT_TASK_ID:60707:" TargetMode="External"/><Relationship Id="rId10" Type="http://schemas.openxmlformats.org/officeDocument/2006/relationships/hyperlink" Target="https://app01.kabal.com/mws/f?p=1720:320:104467914667:ADDBACK:NO::P320_PORT_TASK_ID:60771:" TargetMode="External"/><Relationship Id="rId4" Type="http://schemas.openxmlformats.org/officeDocument/2006/relationships/hyperlink" Target="https://app01.kabal.com/mws/f?p=1720:320:3591087192783:ADDBACK:NO::P320_PORT_TASK_ID:60706:" TargetMode="External"/><Relationship Id="rId9" Type="http://schemas.openxmlformats.org/officeDocument/2006/relationships/hyperlink" Target="https://app01.kabal.com/mws/f?p=1720:320:104467914667:ADDBACK:NO::P320_PORT_TASK_ID:60770:" TargetMode="External"/><Relationship Id="rId1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1875" defaultRowHeight="14.4" x14ac:dyDescent="0.3"/>
  <cols>
    <col min="1" max="1" width="11.21875" style="1"/>
    <col min="2" max="2" width="27.33203125" style="1" customWidth="1"/>
    <col min="3" max="3" width="14.109375" style="1" bestFit="1" customWidth="1"/>
    <col min="4" max="4" width="32.109375" style="1" customWidth="1"/>
    <col min="5" max="6" width="11.44140625" style="1" bestFit="1" customWidth="1"/>
    <col min="7" max="17" width="9.44140625" style="1" customWidth="1"/>
    <col min="18" max="18" width="13.109375" style="1" customWidth="1"/>
    <col min="19" max="20" width="9.33203125" style="1" bestFit="1" customWidth="1"/>
    <col min="21" max="21" width="15.77734375" style="1" customWidth="1"/>
    <col min="22" max="22" width="9.33203125" style="1" bestFit="1" customWidth="1"/>
    <col min="23" max="23" width="12.109375" style="1" customWidth="1"/>
    <col min="24" max="34" width="9.33203125" style="1" bestFit="1" customWidth="1"/>
    <col min="35" max="43" width="8.44140625" style="1" bestFit="1" customWidth="1"/>
    <col min="44" max="65" width="9.33203125" style="1" bestFit="1" customWidth="1"/>
    <col min="66" max="74" width="7.44140625" style="1" bestFit="1" customWidth="1"/>
    <col min="75" max="96" width="8.44140625" style="1" bestFit="1" customWidth="1"/>
    <col min="97" max="105" width="7.44140625" style="1" bestFit="1" customWidth="1"/>
    <col min="106" max="111" width="8.44140625" style="1" bestFit="1" customWidth="1"/>
    <col min="112" max="16384" width="11.21875" style="1"/>
  </cols>
  <sheetData>
    <row r="1" spans="1:111" x14ac:dyDescent="0.3">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6" x14ac:dyDescent="0.3">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3">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3">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3">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 thickBot="1" x14ac:dyDescent="0.35">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 thickBot="1" x14ac:dyDescent="0.35">
      <c r="A7" s="40"/>
      <c r="B7" s="40"/>
      <c r="C7" s="40"/>
      <c r="D7" s="40"/>
      <c r="E7" s="40"/>
      <c r="F7" s="40"/>
      <c r="G7" s="457">
        <v>2025</v>
      </c>
      <c r="H7" s="458"/>
      <c r="I7" s="458"/>
      <c r="J7" s="458"/>
      <c r="K7" s="458"/>
      <c r="L7" s="458"/>
      <c r="M7" s="458"/>
      <c r="N7" s="459"/>
      <c r="O7" s="460">
        <v>2026</v>
      </c>
      <c r="P7" s="461"/>
      <c r="Q7" s="461"/>
      <c r="R7" s="462"/>
      <c r="S7" s="40"/>
      <c r="T7" s="40"/>
      <c r="U7" s="40"/>
      <c r="V7" s="40"/>
      <c r="W7" s="40"/>
      <c r="X7" s="40"/>
      <c r="Y7" s="40"/>
      <c r="Z7" s="40"/>
    </row>
    <row r="8" spans="1:111" x14ac:dyDescent="0.3">
      <c r="A8" s="40"/>
      <c r="B8" s="40"/>
      <c r="C8" s="40"/>
      <c r="D8" s="40"/>
      <c r="E8" s="40"/>
      <c r="F8" s="40"/>
      <c r="G8" s="465" t="s">
        <v>6</v>
      </c>
      <c r="H8" s="466"/>
      <c r="I8" s="466"/>
      <c r="J8" s="466"/>
      <c r="K8" s="467" t="s">
        <v>7</v>
      </c>
      <c r="L8" s="467"/>
      <c r="M8" s="467"/>
      <c r="N8" s="467"/>
      <c r="O8" s="476" t="s">
        <v>8</v>
      </c>
      <c r="P8" s="476"/>
      <c r="Q8" s="476"/>
      <c r="R8" s="477"/>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 thickBot="1" x14ac:dyDescent="0.35">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3">
      <c r="A10" s="40"/>
      <c r="B10" s="468"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3">
      <c r="A11" s="40"/>
      <c r="B11" s="469"/>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3">
      <c r="A12" s="40"/>
      <c r="B12" s="469"/>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3">
      <c r="A13" s="40"/>
      <c r="B13" s="469"/>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3">
      <c r="A14" s="40"/>
      <c r="B14" s="469"/>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 thickBot="1" x14ac:dyDescent="0.35">
      <c r="A15" s="40"/>
      <c r="B15" s="470"/>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3">
      <c r="A16" s="40"/>
      <c r="B16" s="463"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3">
      <c r="A17" s="40"/>
      <c r="B17" s="464"/>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 thickBot="1" x14ac:dyDescent="0.35">
      <c r="A18" s="40"/>
      <c r="B18" s="464"/>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3">
      <c r="A19" s="40"/>
      <c r="B19" s="463"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 thickBot="1" x14ac:dyDescent="0.35">
      <c r="A20" s="40"/>
      <c r="B20" s="464"/>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3">
      <c r="A21" s="40"/>
      <c r="B21" s="463"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3">
      <c r="A22" s="40"/>
      <c r="B22" s="464"/>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 thickBot="1" x14ac:dyDescent="0.35">
      <c r="A23" s="40"/>
      <c r="B23" s="464"/>
      <c r="C23" s="7" t="s">
        <v>38</v>
      </c>
      <c r="D23" s="7" t="s">
        <v>40</v>
      </c>
      <c r="E23" s="54">
        <v>46022</v>
      </c>
      <c r="F23" s="55">
        <v>46063</v>
      </c>
      <c r="G23" s="15"/>
      <c r="H23" s="16"/>
      <c r="I23" s="16"/>
      <c r="J23" s="16"/>
      <c r="K23" s="16"/>
      <c r="L23" s="16"/>
      <c r="M23" s="16"/>
      <c r="N23" s="473"/>
      <c r="O23" s="473"/>
      <c r="P23" s="473"/>
      <c r="Q23" s="473"/>
      <c r="R23" s="474"/>
      <c r="S23" s="40"/>
      <c r="T23" s="40"/>
      <c r="U23" s="40"/>
      <c r="V23" s="40"/>
      <c r="W23" s="40"/>
      <c r="X23" s="40"/>
      <c r="Y23" s="40"/>
      <c r="Z23" s="40"/>
    </row>
    <row r="24" spans="1:111" x14ac:dyDescent="0.3">
      <c r="A24" s="40"/>
      <c r="B24" s="463" t="s">
        <v>41</v>
      </c>
      <c r="C24" s="7" t="s">
        <v>42</v>
      </c>
      <c r="D24" s="7" t="s">
        <v>43</v>
      </c>
      <c r="E24" s="54">
        <v>45990</v>
      </c>
      <c r="F24" s="55">
        <v>46024</v>
      </c>
      <c r="G24" s="12"/>
      <c r="H24" s="13"/>
      <c r="I24" s="13"/>
      <c r="J24" s="475"/>
      <c r="K24" s="475"/>
      <c r="L24" s="475"/>
      <c r="M24" s="475"/>
      <c r="N24" s="475"/>
      <c r="O24" s="475"/>
      <c r="P24" s="13"/>
      <c r="Q24" s="13"/>
      <c r="R24" s="14"/>
      <c r="S24" s="40"/>
      <c r="T24" s="40"/>
      <c r="U24" s="40"/>
      <c r="V24" s="40"/>
      <c r="W24" s="40"/>
      <c r="X24" s="40"/>
      <c r="Y24" s="40"/>
      <c r="Z24" s="40"/>
    </row>
    <row r="25" spans="1:111" ht="15" thickBot="1" x14ac:dyDescent="0.35">
      <c r="A25" s="40"/>
      <c r="B25" s="464"/>
      <c r="C25" s="7" t="s">
        <v>44</v>
      </c>
      <c r="D25" s="7" t="s">
        <v>45</v>
      </c>
      <c r="E25" s="54">
        <v>46024</v>
      </c>
      <c r="F25" s="55">
        <v>46083</v>
      </c>
      <c r="G25" s="15"/>
      <c r="H25" s="16"/>
      <c r="I25" s="16"/>
      <c r="J25" s="16"/>
      <c r="K25" s="16"/>
      <c r="L25" s="16"/>
      <c r="M25" s="16"/>
      <c r="N25" s="16"/>
      <c r="O25" s="471"/>
      <c r="P25" s="471"/>
      <c r="Q25" s="471"/>
      <c r="R25" s="472"/>
      <c r="S25" s="40"/>
      <c r="T25" s="40"/>
      <c r="U25" s="40"/>
      <c r="V25" s="40"/>
      <c r="W25" s="40"/>
      <c r="X25" s="40"/>
      <c r="Y25" s="40"/>
      <c r="Z25" s="40"/>
    </row>
    <row r="26" spans="1:111" ht="15" thickBot="1" x14ac:dyDescent="0.35">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 thickBot="1" x14ac:dyDescent="0.35">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5">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 thickBot="1" x14ac:dyDescent="0.35">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 thickBot="1" x14ac:dyDescent="0.35">
      <c r="B30" s="456"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 thickBot="1" x14ac:dyDescent="0.35">
      <c r="A31" s="40"/>
      <c r="B31" s="456"/>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 thickBot="1" x14ac:dyDescent="0.35">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5">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 thickBot="1" x14ac:dyDescent="0.35">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 thickBot="1" x14ac:dyDescent="0.35">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3">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3">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3">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3">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3">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3">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3">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3">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3">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3">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3">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3">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3">
      <c r="U49" s="40"/>
    </row>
    <row r="50" spans="21:21" x14ac:dyDescent="0.3">
      <c r="U50" s="40"/>
    </row>
    <row r="51" spans="21:21" x14ac:dyDescent="0.3">
      <c r="U51" s="40"/>
    </row>
    <row r="52" spans="21:21" x14ac:dyDescent="0.3">
      <c r="U52" s="40"/>
    </row>
    <row r="53" spans="21:21" x14ac:dyDescent="0.3">
      <c r="U53" s="40"/>
    </row>
    <row r="54" spans="21:21" x14ac:dyDescent="0.3">
      <c r="U54" s="40"/>
    </row>
    <row r="55" spans="21:21" x14ac:dyDescent="0.3">
      <c r="U55" s="40"/>
    </row>
    <row r="56" spans="21:21" x14ac:dyDescent="0.3">
      <c r="U56" s="40"/>
    </row>
    <row r="57" spans="21:21" x14ac:dyDescent="0.3">
      <c r="U57" s="40"/>
    </row>
    <row r="58" spans="21:21" x14ac:dyDescent="0.3">
      <c r="U58" s="40"/>
    </row>
    <row r="59" spans="21:21" x14ac:dyDescent="0.3">
      <c r="U59" s="40"/>
    </row>
    <row r="60" spans="21:21" x14ac:dyDescent="0.3">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4.4" x14ac:dyDescent="0.3"/>
  <cols>
    <col min="2" max="2" width="17" customWidth="1"/>
    <col min="3" max="3" width="14.33203125" customWidth="1"/>
    <col min="4" max="4" width="32.33203125" customWidth="1"/>
    <col min="5" max="5" width="11.109375" customWidth="1"/>
    <col min="6" max="6" width="11.44140625" bestFit="1" customWidth="1"/>
    <col min="14" max="14" width="6.77734375" customWidth="1"/>
    <col min="18" max="18" width="9" style="342" customWidth="1"/>
    <col min="19" max="19" width="9" bestFit="1" customWidth="1"/>
    <col min="20" max="21" width="9.44140625" bestFit="1" customWidth="1"/>
    <col min="22" max="22" width="9.44140625" style="342" bestFit="1" customWidth="1"/>
    <col min="23" max="23" width="9" bestFit="1" customWidth="1"/>
    <col min="24" max="24" width="9" customWidth="1"/>
    <col min="25" max="25" width="9.44140625" bestFit="1" customWidth="1"/>
    <col min="26" max="26" width="9.44140625" style="342" bestFit="1" customWidth="1"/>
    <col min="27" max="28" width="9" bestFit="1" customWidth="1"/>
    <col min="29" max="29" width="9.44140625" bestFit="1" customWidth="1"/>
    <col min="30" max="30" width="9.44140625" style="342" bestFit="1" customWidth="1"/>
    <col min="44" max="44" width="9.77734375" bestFit="1" customWidth="1"/>
  </cols>
  <sheetData>
    <row r="1" spans="1:71" s="1" customFormat="1" x14ac:dyDescent="0.3">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x14ac:dyDescent="0.3">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x14ac:dyDescent="0.3">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6" x14ac:dyDescent="0.3">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x14ac:dyDescent="0.3">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x14ac:dyDescent="0.3">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x14ac:dyDescent="0.3">
      <c r="A7" s="40"/>
      <c r="B7" s="152"/>
      <c r="C7" s="131" t="s">
        <v>70</v>
      </c>
      <c r="D7" s="40"/>
      <c r="E7" s="40"/>
      <c r="F7" s="40"/>
      <c r="G7" s="547">
        <v>2026</v>
      </c>
      <c r="H7" s="547"/>
      <c r="I7" s="547"/>
      <c r="J7" s="547"/>
      <c r="K7" s="547"/>
      <c r="L7" s="547"/>
      <c r="M7" s="547"/>
      <c r="N7" s="547"/>
      <c r="O7" s="547"/>
      <c r="P7" s="547"/>
      <c r="Q7" s="547"/>
      <c r="R7" s="547"/>
      <c r="S7" s="547"/>
      <c r="T7" s="547"/>
      <c r="U7" s="547"/>
      <c r="V7" s="547"/>
      <c r="W7" s="547"/>
      <c r="X7" s="547"/>
      <c r="Y7" s="547"/>
      <c r="Z7" s="547"/>
      <c r="AA7" s="547"/>
      <c r="AB7" s="547"/>
      <c r="AC7" s="547"/>
      <c r="AD7" s="547"/>
      <c r="AE7" s="547"/>
      <c r="AF7" s="547"/>
      <c r="AG7" s="547"/>
      <c r="AH7" s="547"/>
      <c r="AI7" s="547"/>
      <c r="AJ7" s="547"/>
      <c r="AK7" s="547"/>
      <c r="AL7" s="547"/>
      <c r="AM7" s="547"/>
      <c r="AN7" s="547"/>
      <c r="AO7" s="547"/>
      <c r="AP7" s="547"/>
      <c r="AQ7" s="547"/>
      <c r="AR7" s="547"/>
      <c r="AS7" s="547"/>
      <c r="AT7" s="547"/>
      <c r="AU7" s="547"/>
      <c r="AV7" s="547"/>
      <c r="AW7" s="547"/>
      <c r="AX7" s="547"/>
      <c r="AY7" s="547"/>
      <c r="AZ7" s="547"/>
      <c r="BA7" s="547"/>
      <c r="BB7" s="547"/>
    </row>
    <row r="8" spans="1:71" s="1" customFormat="1" x14ac:dyDescent="0.3">
      <c r="A8" s="40"/>
      <c r="B8" s="167"/>
      <c r="C8" s="131" t="s">
        <v>71</v>
      </c>
      <c r="D8" s="40"/>
      <c r="E8" s="40"/>
      <c r="F8" s="40"/>
      <c r="G8" s="541" t="s">
        <v>72</v>
      </c>
      <c r="H8" s="541"/>
      <c r="I8" s="541"/>
      <c r="J8" s="541"/>
      <c r="K8" s="542" t="s">
        <v>73</v>
      </c>
      <c r="L8" s="542"/>
      <c r="M8" s="542"/>
      <c r="N8" s="542"/>
      <c r="O8" s="543" t="s">
        <v>74</v>
      </c>
      <c r="P8" s="543"/>
      <c r="Q8" s="543"/>
      <c r="R8" s="543"/>
      <c r="S8" s="553" t="s">
        <v>75</v>
      </c>
      <c r="T8" s="553"/>
      <c r="U8" s="553"/>
      <c r="V8" s="553"/>
      <c r="W8" s="542" t="s">
        <v>76</v>
      </c>
      <c r="X8" s="542"/>
      <c r="Y8" s="542"/>
      <c r="Z8" s="542"/>
      <c r="AA8" s="543" t="s">
        <v>77</v>
      </c>
      <c r="AB8" s="543"/>
      <c r="AC8" s="543"/>
      <c r="AD8" s="543"/>
      <c r="AE8" s="552" t="s">
        <v>78</v>
      </c>
      <c r="AF8" s="552"/>
      <c r="AG8" s="552"/>
      <c r="AH8" s="552"/>
      <c r="AI8" s="548" t="s">
        <v>79</v>
      </c>
      <c r="AJ8" s="548"/>
      <c r="AK8" s="548"/>
      <c r="AL8" s="548"/>
      <c r="AM8" s="549" t="s">
        <v>80</v>
      </c>
      <c r="AN8" s="549"/>
      <c r="AO8" s="549"/>
      <c r="AP8" s="549"/>
      <c r="AQ8" s="548" t="s">
        <v>81</v>
      </c>
      <c r="AR8" s="548"/>
      <c r="AS8" s="548"/>
      <c r="AT8" s="548"/>
      <c r="AU8" s="549" t="s">
        <v>82</v>
      </c>
      <c r="AV8" s="549"/>
      <c r="AW8" s="549"/>
      <c r="AX8" s="549"/>
      <c r="AY8" s="548" t="s">
        <v>83</v>
      </c>
      <c r="AZ8" s="548"/>
      <c r="BA8" s="548"/>
      <c r="BB8" s="548"/>
      <c r="BC8" s="8"/>
      <c r="BD8" s="8"/>
      <c r="BE8" s="8"/>
      <c r="BF8" s="8"/>
      <c r="BG8" s="8"/>
      <c r="BH8" s="8"/>
      <c r="BI8" s="8"/>
      <c r="BJ8" s="8"/>
      <c r="BK8" s="8"/>
      <c r="BL8" s="8"/>
      <c r="BM8" s="8"/>
      <c r="BN8" s="8"/>
      <c r="BO8" s="8"/>
      <c r="BP8" s="8"/>
      <c r="BQ8" s="8"/>
      <c r="BR8" s="8"/>
      <c r="BS8" s="8"/>
    </row>
    <row r="9" spans="1:71" s="1" customFormat="1" ht="15" thickBot="1" x14ac:dyDescent="0.35">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 thickBot="1" x14ac:dyDescent="0.35">
      <c r="A10" s="40"/>
      <c r="B10" s="289" t="s">
        <v>9</v>
      </c>
      <c r="C10" s="290" t="s">
        <v>10</v>
      </c>
      <c r="D10" s="290" t="s">
        <v>11</v>
      </c>
      <c r="E10" s="290" t="s">
        <v>12</v>
      </c>
      <c r="F10" s="291" t="s">
        <v>13</v>
      </c>
      <c r="G10" s="231"/>
      <c r="H10" s="231"/>
      <c r="I10" s="231"/>
      <c r="J10" s="231"/>
      <c r="K10" s="231"/>
      <c r="L10" s="231"/>
      <c r="M10" s="231"/>
      <c r="N10" s="231"/>
      <c r="O10" s="231"/>
      <c r="P10" s="231"/>
      <c r="Q10" s="231"/>
      <c r="R10" s="378"/>
      <c r="S10" s="538"/>
      <c r="T10" s="539"/>
      <c r="U10" s="539"/>
      <c r="V10" s="539"/>
      <c r="W10" s="539"/>
      <c r="X10" s="539"/>
      <c r="Y10" s="539"/>
      <c r="Z10" s="539"/>
      <c r="AA10" s="539"/>
      <c r="AB10" s="539"/>
      <c r="AC10" s="539"/>
      <c r="AD10" s="540"/>
      <c r="AE10" s="550"/>
      <c r="AF10" s="551"/>
      <c r="AG10" s="551"/>
      <c r="AH10" s="551"/>
      <c r="AI10" s="551"/>
      <c r="AJ10" s="551"/>
      <c r="AK10" s="551"/>
      <c r="AL10" s="551"/>
      <c r="AM10" s="551"/>
      <c r="AN10" s="551"/>
      <c r="AO10" s="551"/>
      <c r="AP10" s="551"/>
      <c r="AQ10" s="550"/>
      <c r="AR10" s="551"/>
      <c r="AS10" s="551"/>
      <c r="AT10" s="551"/>
      <c r="AU10" s="551"/>
      <c r="AV10" s="551"/>
      <c r="AW10" s="551"/>
      <c r="AX10" s="551"/>
      <c r="AY10" s="551"/>
      <c r="AZ10" s="551"/>
      <c r="BA10" s="551"/>
      <c r="BB10" s="551"/>
      <c r="BC10" s="9"/>
      <c r="BD10" s="9"/>
      <c r="BE10" s="9"/>
      <c r="BF10" s="9"/>
      <c r="BG10" s="9"/>
      <c r="BH10" s="9"/>
      <c r="BI10" s="9"/>
      <c r="BJ10" s="9"/>
      <c r="BK10" s="9"/>
      <c r="BL10" s="9"/>
      <c r="BM10" s="9"/>
      <c r="BN10" s="9"/>
      <c r="BO10" s="9"/>
      <c r="BP10" s="9"/>
      <c r="BQ10" s="9"/>
      <c r="BR10" s="9"/>
      <c r="BS10" s="9"/>
    </row>
    <row r="11" spans="1:71" ht="19.95" customHeight="1" thickBot="1" x14ac:dyDescent="0.35">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29.4" thickBot="1" x14ac:dyDescent="0.35">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x14ac:dyDescent="0.35">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29.4" thickBot="1" x14ac:dyDescent="0.35">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x14ac:dyDescent="0.3">
      <c r="A15" s="150"/>
      <c r="B15" s="463"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x14ac:dyDescent="0.3">
      <c r="A16" s="150"/>
      <c r="B16" s="463"/>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x14ac:dyDescent="0.3">
      <c r="A17" s="150"/>
      <c r="B17" s="463"/>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x14ac:dyDescent="0.3">
      <c r="A18" s="150"/>
      <c r="B18" s="463"/>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x14ac:dyDescent="0.3">
      <c r="A19" s="150"/>
      <c r="B19" s="463"/>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 thickBot="1" x14ac:dyDescent="0.35">
      <c r="A20" s="150"/>
      <c r="B20" s="463"/>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x14ac:dyDescent="0.3">
      <c r="A21" s="150"/>
      <c r="B21" s="463"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x14ac:dyDescent="0.3">
      <c r="A22" s="150"/>
      <c r="B22" s="463"/>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x14ac:dyDescent="0.3">
      <c r="A23" s="150"/>
      <c r="B23" s="463"/>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x14ac:dyDescent="0.3">
      <c r="A24" s="265"/>
      <c r="B24" s="463"/>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 thickBot="1" x14ac:dyDescent="0.35">
      <c r="A25" s="150"/>
      <c r="B25" s="463"/>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x14ac:dyDescent="0.3">
      <c r="A26" s="150"/>
      <c r="B26" s="463"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x14ac:dyDescent="0.3">
      <c r="A27" s="150"/>
      <c r="B27" s="463"/>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x14ac:dyDescent="0.3">
      <c r="A28" s="150"/>
      <c r="B28" s="463"/>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 thickBot="1" x14ac:dyDescent="0.35">
      <c r="A29" s="150"/>
      <c r="B29" s="464"/>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x14ac:dyDescent="0.3">
      <c r="A30" s="150"/>
      <c r="B30" s="468"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x14ac:dyDescent="0.3">
      <c r="A31" s="150"/>
      <c r="B31" s="495"/>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 thickBot="1" x14ac:dyDescent="0.35">
      <c r="A32" s="150"/>
      <c r="B32" s="495"/>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x14ac:dyDescent="0.3">
      <c r="A33" s="150"/>
      <c r="B33" s="496"/>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x14ac:dyDescent="0.3">
      <c r="A34" s="150"/>
      <c r="B34" s="464"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 thickBot="1" x14ac:dyDescent="0.35">
      <c r="A35" s="150"/>
      <c r="B35" s="464"/>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 thickBot="1" x14ac:dyDescent="0.35">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x14ac:dyDescent="0.3">
      <c r="A37" s="150"/>
      <c r="B37" s="464"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 thickBot="1" x14ac:dyDescent="0.35">
      <c r="A38" s="150"/>
      <c r="B38" s="464"/>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x14ac:dyDescent="0.3">
      <c r="A39" s="150"/>
      <c r="B39" s="522"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x14ac:dyDescent="0.3">
      <c r="A40" s="150"/>
      <c r="B40" s="522"/>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 thickBot="1" x14ac:dyDescent="0.35">
      <c r="A41" s="150"/>
      <c r="B41" s="522"/>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x14ac:dyDescent="0.3">
      <c r="A42" s="150"/>
      <c r="B42" s="500"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x14ac:dyDescent="0.3">
      <c r="A43" s="150"/>
      <c r="B43" s="500"/>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 thickBot="1" x14ac:dyDescent="0.35">
      <c r="A44" s="150"/>
      <c r="B44" s="500"/>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 thickBot="1" x14ac:dyDescent="0.35">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 thickBot="1" x14ac:dyDescent="0.35">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 thickBot="1" x14ac:dyDescent="0.35">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 thickBot="1" x14ac:dyDescent="0.35">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8.600000000000001" thickBot="1" x14ac:dyDescent="0.35">
      <c r="A49" s="150"/>
      <c r="B49" s="501" t="s">
        <v>131</v>
      </c>
      <c r="C49" s="502"/>
      <c r="D49" s="502"/>
      <c r="E49" s="502"/>
      <c r="F49" s="503"/>
      <c r="G49" s="497" t="s">
        <v>132</v>
      </c>
      <c r="H49" s="498"/>
      <c r="I49" s="498"/>
      <c r="J49" s="499"/>
      <c r="K49" s="497" t="s">
        <v>133</v>
      </c>
      <c r="L49" s="498"/>
      <c r="M49" s="498"/>
      <c r="N49" s="499"/>
      <c r="O49" s="497" t="s">
        <v>134</v>
      </c>
      <c r="P49" s="498"/>
      <c r="Q49" s="498"/>
      <c r="R49" s="499"/>
      <c r="S49" s="497" t="s">
        <v>135</v>
      </c>
      <c r="T49" s="498"/>
      <c r="U49" s="498"/>
      <c r="V49" s="499"/>
      <c r="W49" s="497" t="s">
        <v>133</v>
      </c>
      <c r="X49" s="498"/>
      <c r="Y49" s="498"/>
      <c r="Z49" s="499"/>
      <c r="AA49" s="497" t="s">
        <v>136</v>
      </c>
      <c r="AB49" s="498"/>
      <c r="AC49" s="498"/>
      <c r="AD49" s="499"/>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8.600000000000001" thickBot="1" x14ac:dyDescent="0.35">
      <c r="A50" s="150"/>
      <c r="B50" s="523" t="s">
        <v>137</v>
      </c>
      <c r="C50" s="524"/>
      <c r="D50" s="524"/>
      <c r="E50" s="524"/>
      <c r="F50" s="525"/>
      <c r="G50" s="529" t="s">
        <v>136</v>
      </c>
      <c r="H50" s="530"/>
      <c r="I50" s="530"/>
      <c r="J50" s="531"/>
      <c r="K50" s="529" t="s">
        <v>138</v>
      </c>
      <c r="L50" s="530"/>
      <c r="M50" s="530"/>
      <c r="N50" s="531"/>
      <c r="O50" s="523" t="s">
        <v>139</v>
      </c>
      <c r="P50" s="524"/>
      <c r="Q50" s="524"/>
      <c r="R50" s="525"/>
      <c r="S50" s="523" t="s">
        <v>138</v>
      </c>
      <c r="T50" s="524"/>
      <c r="U50" s="524"/>
      <c r="V50" s="525"/>
      <c r="W50" s="523" t="s">
        <v>138</v>
      </c>
      <c r="X50" s="524"/>
      <c r="Y50" s="524"/>
      <c r="Z50" s="525"/>
      <c r="AA50" s="523" t="s">
        <v>138</v>
      </c>
      <c r="AB50" s="524"/>
      <c r="AC50" s="524"/>
      <c r="AD50" s="525"/>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7" customHeight="1" thickBot="1" x14ac:dyDescent="0.35">
      <c r="A51" s="150"/>
      <c r="B51" s="481" t="s">
        <v>140</v>
      </c>
      <c r="C51" s="482"/>
      <c r="D51" s="482"/>
      <c r="E51" s="482"/>
      <c r="F51" s="483"/>
      <c r="G51" s="544" t="s">
        <v>141</v>
      </c>
      <c r="H51" s="545"/>
      <c r="I51" s="545"/>
      <c r="J51" s="546"/>
      <c r="K51" s="532" t="s">
        <v>142</v>
      </c>
      <c r="L51" s="533"/>
      <c r="M51" s="533"/>
      <c r="N51" s="534"/>
      <c r="O51" s="481" t="s">
        <v>143</v>
      </c>
      <c r="P51" s="482"/>
      <c r="Q51" s="482"/>
      <c r="R51" s="483"/>
      <c r="S51" s="481"/>
      <c r="T51" s="482"/>
      <c r="U51" s="482"/>
      <c r="V51" s="483"/>
      <c r="W51" s="481" t="s">
        <v>143</v>
      </c>
      <c r="X51" s="482"/>
      <c r="Y51" s="482"/>
      <c r="Z51" s="483"/>
      <c r="AA51" s="481"/>
      <c r="AB51" s="482"/>
      <c r="AC51" s="482"/>
      <c r="AD51" s="494"/>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x14ac:dyDescent="0.35">
      <c r="A52" s="150"/>
      <c r="B52" s="478" t="s">
        <v>144</v>
      </c>
      <c r="C52" s="479"/>
      <c r="D52" s="479"/>
      <c r="E52" s="479"/>
      <c r="F52" s="480"/>
      <c r="G52" s="526" t="s">
        <v>145</v>
      </c>
      <c r="H52" s="527"/>
      <c r="I52" s="527"/>
      <c r="J52" s="528"/>
      <c r="K52" s="535" t="s">
        <v>146</v>
      </c>
      <c r="L52" s="536"/>
      <c r="M52" s="536"/>
      <c r="N52" s="537"/>
      <c r="O52" s="535" t="s">
        <v>147</v>
      </c>
      <c r="P52" s="536"/>
      <c r="Q52" s="536"/>
      <c r="R52" s="537"/>
      <c r="S52" s="478"/>
      <c r="T52" s="479"/>
      <c r="U52" s="479"/>
      <c r="V52" s="480"/>
      <c r="W52" s="478"/>
      <c r="X52" s="479"/>
      <c r="Y52" s="479"/>
      <c r="Z52" s="480"/>
      <c r="AA52" s="478"/>
      <c r="AB52" s="479"/>
      <c r="AC52" s="479"/>
      <c r="AD52" s="493"/>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x14ac:dyDescent="0.3">
      <c r="A53" s="150"/>
      <c r="B53" s="504" t="s">
        <v>148</v>
      </c>
      <c r="C53" s="505"/>
      <c r="D53" s="505"/>
      <c r="E53" s="505"/>
      <c r="F53" s="506"/>
      <c r="G53" s="513" t="s">
        <v>149</v>
      </c>
      <c r="H53" s="514"/>
      <c r="I53" s="514"/>
      <c r="J53" s="515"/>
      <c r="K53" s="513" t="s">
        <v>150</v>
      </c>
      <c r="L53" s="514"/>
      <c r="M53" s="514"/>
      <c r="N53" s="515"/>
      <c r="O53" s="484" t="s">
        <v>151</v>
      </c>
      <c r="P53" s="485"/>
      <c r="Q53" s="485"/>
      <c r="R53" s="486"/>
      <c r="S53" s="484" t="s">
        <v>152</v>
      </c>
      <c r="T53" s="485"/>
      <c r="U53" s="485"/>
      <c r="V53" s="486"/>
      <c r="W53" s="484" t="s">
        <v>153</v>
      </c>
      <c r="X53" s="485"/>
      <c r="Y53" s="485"/>
      <c r="Z53" s="486"/>
      <c r="AA53" s="484" t="s">
        <v>154</v>
      </c>
      <c r="AB53" s="485"/>
      <c r="AC53" s="485"/>
      <c r="AD53" s="486"/>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x14ac:dyDescent="0.3">
      <c r="A54" s="150"/>
      <c r="B54" s="507"/>
      <c r="C54" s="508"/>
      <c r="D54" s="508"/>
      <c r="E54" s="508"/>
      <c r="F54" s="509"/>
      <c r="G54" s="516"/>
      <c r="H54" s="517"/>
      <c r="I54" s="517"/>
      <c r="J54" s="518"/>
      <c r="K54" s="516"/>
      <c r="L54" s="517"/>
      <c r="M54" s="517"/>
      <c r="N54" s="518"/>
      <c r="O54" s="487"/>
      <c r="P54" s="488"/>
      <c r="Q54" s="488"/>
      <c r="R54" s="489"/>
      <c r="S54" s="487"/>
      <c r="T54" s="488"/>
      <c r="U54" s="488"/>
      <c r="V54" s="489"/>
      <c r="W54" s="487"/>
      <c r="X54" s="488"/>
      <c r="Y54" s="488"/>
      <c r="Z54" s="489"/>
      <c r="AA54" s="487"/>
      <c r="AB54" s="488"/>
      <c r="AC54" s="488"/>
      <c r="AD54" s="489"/>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x14ac:dyDescent="0.3">
      <c r="B55" s="507"/>
      <c r="C55" s="508"/>
      <c r="D55" s="508"/>
      <c r="E55" s="508"/>
      <c r="F55" s="509"/>
      <c r="G55" s="516"/>
      <c r="H55" s="517"/>
      <c r="I55" s="517"/>
      <c r="J55" s="518"/>
      <c r="K55" s="516"/>
      <c r="L55" s="517"/>
      <c r="M55" s="517"/>
      <c r="N55" s="518"/>
      <c r="O55" s="487"/>
      <c r="P55" s="488"/>
      <c r="Q55" s="488"/>
      <c r="R55" s="489"/>
      <c r="S55" s="487"/>
      <c r="T55" s="488"/>
      <c r="U55" s="488"/>
      <c r="V55" s="489"/>
      <c r="W55" s="487"/>
      <c r="X55" s="488"/>
      <c r="Y55" s="488"/>
      <c r="Z55" s="489"/>
      <c r="AA55" s="487"/>
      <c r="AB55" s="488"/>
      <c r="AC55" s="488"/>
      <c r="AD55" s="489"/>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x14ac:dyDescent="0.3">
      <c r="B56" s="507"/>
      <c r="C56" s="508"/>
      <c r="D56" s="508"/>
      <c r="E56" s="508"/>
      <c r="F56" s="509"/>
      <c r="G56" s="516"/>
      <c r="H56" s="517"/>
      <c r="I56" s="517"/>
      <c r="J56" s="518"/>
      <c r="K56" s="516"/>
      <c r="L56" s="517"/>
      <c r="M56" s="517"/>
      <c r="N56" s="518"/>
      <c r="O56" s="487"/>
      <c r="P56" s="488"/>
      <c r="Q56" s="488"/>
      <c r="R56" s="489"/>
      <c r="S56" s="487"/>
      <c r="T56" s="488"/>
      <c r="U56" s="488"/>
      <c r="V56" s="489"/>
      <c r="W56" s="487"/>
      <c r="X56" s="488"/>
      <c r="Y56" s="488"/>
      <c r="Z56" s="489"/>
      <c r="AA56" s="487"/>
      <c r="AB56" s="488"/>
      <c r="AC56" s="488"/>
      <c r="AD56" s="489"/>
    </row>
    <row r="57" spans="1:54" ht="15" customHeight="1" x14ac:dyDescent="0.3">
      <c r="B57" s="507"/>
      <c r="C57" s="508"/>
      <c r="D57" s="508"/>
      <c r="E57" s="508"/>
      <c r="F57" s="509"/>
      <c r="G57" s="516"/>
      <c r="H57" s="517"/>
      <c r="I57" s="517"/>
      <c r="J57" s="518"/>
      <c r="K57" s="516"/>
      <c r="L57" s="517"/>
      <c r="M57" s="517"/>
      <c r="N57" s="518"/>
      <c r="O57" s="487"/>
      <c r="P57" s="488"/>
      <c r="Q57" s="488"/>
      <c r="R57" s="489"/>
      <c r="S57" s="487"/>
      <c r="T57" s="488"/>
      <c r="U57" s="488"/>
      <c r="V57" s="489"/>
      <c r="W57" s="487"/>
      <c r="X57" s="488"/>
      <c r="Y57" s="488"/>
      <c r="Z57" s="489"/>
      <c r="AA57" s="487"/>
      <c r="AB57" s="488"/>
      <c r="AC57" s="488"/>
      <c r="AD57" s="489"/>
    </row>
    <row r="58" spans="1:54" ht="15" customHeight="1" x14ac:dyDescent="0.3">
      <c r="B58" s="507"/>
      <c r="C58" s="508"/>
      <c r="D58" s="508"/>
      <c r="E58" s="508"/>
      <c r="F58" s="509"/>
      <c r="G58" s="516"/>
      <c r="H58" s="517"/>
      <c r="I58" s="517"/>
      <c r="J58" s="518"/>
      <c r="K58" s="516"/>
      <c r="L58" s="517"/>
      <c r="M58" s="517"/>
      <c r="N58" s="518"/>
      <c r="O58" s="487"/>
      <c r="P58" s="488"/>
      <c r="Q58" s="488"/>
      <c r="R58" s="489"/>
      <c r="S58" s="487"/>
      <c r="T58" s="488"/>
      <c r="U58" s="488"/>
      <c r="V58" s="489"/>
      <c r="W58" s="487"/>
      <c r="X58" s="488"/>
      <c r="Y58" s="488"/>
      <c r="Z58" s="489"/>
      <c r="AA58" s="487"/>
      <c r="AB58" s="488"/>
      <c r="AC58" s="488"/>
      <c r="AD58" s="489"/>
    </row>
    <row r="59" spans="1:54" ht="15" customHeight="1" x14ac:dyDescent="0.3">
      <c r="B59" s="507"/>
      <c r="C59" s="508"/>
      <c r="D59" s="508"/>
      <c r="E59" s="508"/>
      <c r="F59" s="509"/>
      <c r="G59" s="516"/>
      <c r="H59" s="517"/>
      <c r="I59" s="517"/>
      <c r="J59" s="518"/>
      <c r="K59" s="516"/>
      <c r="L59" s="517"/>
      <c r="M59" s="517"/>
      <c r="N59" s="518"/>
      <c r="O59" s="487"/>
      <c r="P59" s="488"/>
      <c r="Q59" s="488"/>
      <c r="R59" s="489"/>
      <c r="S59" s="487"/>
      <c r="T59" s="488"/>
      <c r="U59" s="488"/>
      <c r="V59" s="489"/>
      <c r="W59" s="487"/>
      <c r="X59" s="488"/>
      <c r="Y59" s="488"/>
      <c r="Z59" s="489"/>
      <c r="AA59" s="487"/>
      <c r="AB59" s="488"/>
      <c r="AC59" s="488"/>
      <c r="AD59" s="489"/>
    </row>
    <row r="60" spans="1:54" ht="15" customHeight="1" x14ac:dyDescent="0.3">
      <c r="B60" s="507"/>
      <c r="C60" s="508"/>
      <c r="D60" s="508"/>
      <c r="E60" s="508"/>
      <c r="F60" s="509"/>
      <c r="G60" s="516"/>
      <c r="H60" s="517"/>
      <c r="I60" s="517"/>
      <c r="J60" s="518"/>
      <c r="K60" s="516"/>
      <c r="L60" s="517"/>
      <c r="M60" s="517"/>
      <c r="N60" s="518"/>
      <c r="O60" s="487"/>
      <c r="P60" s="488"/>
      <c r="Q60" s="488"/>
      <c r="R60" s="489"/>
      <c r="S60" s="487"/>
      <c r="T60" s="488"/>
      <c r="U60" s="488"/>
      <c r="V60" s="489"/>
      <c r="W60" s="487"/>
      <c r="X60" s="488"/>
      <c r="Y60" s="488"/>
      <c r="Z60" s="489"/>
      <c r="AA60" s="487"/>
      <c r="AB60" s="488"/>
      <c r="AC60" s="488"/>
      <c r="AD60" s="489"/>
    </row>
    <row r="61" spans="1:54" ht="15" customHeight="1" x14ac:dyDescent="0.3">
      <c r="B61" s="507"/>
      <c r="C61" s="508"/>
      <c r="D61" s="508"/>
      <c r="E61" s="508"/>
      <c r="F61" s="509"/>
      <c r="G61" s="516"/>
      <c r="H61" s="517"/>
      <c r="I61" s="517"/>
      <c r="J61" s="518"/>
      <c r="K61" s="516"/>
      <c r="L61" s="517"/>
      <c r="M61" s="517"/>
      <c r="N61" s="518"/>
      <c r="O61" s="487"/>
      <c r="P61" s="488"/>
      <c r="Q61" s="488"/>
      <c r="R61" s="489"/>
      <c r="S61" s="487"/>
      <c r="T61" s="488"/>
      <c r="U61" s="488"/>
      <c r="V61" s="489"/>
      <c r="W61" s="487"/>
      <c r="X61" s="488"/>
      <c r="Y61" s="488"/>
      <c r="Z61" s="489"/>
      <c r="AA61" s="487"/>
      <c r="AB61" s="488"/>
      <c r="AC61" s="488"/>
      <c r="AD61" s="489"/>
    </row>
    <row r="62" spans="1:54" ht="52.5" customHeight="1" x14ac:dyDescent="0.3">
      <c r="B62" s="507"/>
      <c r="C62" s="508"/>
      <c r="D62" s="508"/>
      <c r="E62" s="508"/>
      <c r="F62" s="509"/>
      <c r="G62" s="516"/>
      <c r="H62" s="517"/>
      <c r="I62" s="517"/>
      <c r="J62" s="518"/>
      <c r="K62" s="516"/>
      <c r="L62" s="517"/>
      <c r="M62" s="517"/>
      <c r="N62" s="518"/>
      <c r="O62" s="487"/>
      <c r="P62" s="488"/>
      <c r="Q62" s="488"/>
      <c r="R62" s="489"/>
      <c r="S62" s="487"/>
      <c r="T62" s="488"/>
      <c r="U62" s="488"/>
      <c r="V62" s="489"/>
      <c r="W62" s="487"/>
      <c r="X62" s="488"/>
      <c r="Y62" s="488"/>
      <c r="Z62" s="489"/>
      <c r="AA62" s="487"/>
      <c r="AB62" s="488"/>
      <c r="AC62" s="488"/>
      <c r="AD62" s="489"/>
    </row>
    <row r="63" spans="1:54" ht="15" customHeight="1" x14ac:dyDescent="0.3">
      <c r="B63" s="507"/>
      <c r="C63" s="508"/>
      <c r="D63" s="508"/>
      <c r="E63" s="508"/>
      <c r="F63" s="509"/>
      <c r="G63" s="516"/>
      <c r="H63" s="517"/>
      <c r="I63" s="517"/>
      <c r="J63" s="518"/>
      <c r="K63" s="516"/>
      <c r="L63" s="517"/>
      <c r="M63" s="517"/>
      <c r="N63" s="518"/>
      <c r="O63" s="487"/>
      <c r="P63" s="488"/>
      <c r="Q63" s="488"/>
      <c r="R63" s="489"/>
      <c r="S63" s="487"/>
      <c r="T63" s="488"/>
      <c r="U63" s="488"/>
      <c r="V63" s="489"/>
      <c r="W63" s="487"/>
      <c r="X63" s="488"/>
      <c r="Y63" s="488"/>
      <c r="Z63" s="489"/>
      <c r="AA63" s="487"/>
      <c r="AB63" s="488"/>
      <c r="AC63" s="488"/>
      <c r="AD63" s="489"/>
    </row>
    <row r="64" spans="1:54" ht="15" customHeight="1" x14ac:dyDescent="0.3">
      <c r="B64" s="507"/>
      <c r="C64" s="508"/>
      <c r="D64" s="508"/>
      <c r="E64" s="508"/>
      <c r="F64" s="509"/>
      <c r="G64" s="516"/>
      <c r="H64" s="517"/>
      <c r="I64" s="517"/>
      <c r="J64" s="518"/>
      <c r="K64" s="516"/>
      <c r="L64" s="517"/>
      <c r="M64" s="517"/>
      <c r="N64" s="518"/>
      <c r="O64" s="487"/>
      <c r="P64" s="488"/>
      <c r="Q64" s="488"/>
      <c r="R64" s="489"/>
      <c r="S64" s="487"/>
      <c r="T64" s="488"/>
      <c r="U64" s="488"/>
      <c r="V64" s="489"/>
      <c r="W64" s="487"/>
      <c r="X64" s="488"/>
      <c r="Y64" s="488"/>
      <c r="Z64" s="489"/>
      <c r="AA64" s="487"/>
      <c r="AB64" s="488"/>
      <c r="AC64" s="488"/>
      <c r="AD64" s="489"/>
    </row>
    <row r="65" spans="2:30" ht="67.2" customHeight="1" x14ac:dyDescent="0.3">
      <c r="B65" s="507"/>
      <c r="C65" s="508"/>
      <c r="D65" s="508"/>
      <c r="E65" s="508"/>
      <c r="F65" s="509"/>
      <c r="G65" s="516"/>
      <c r="H65" s="517"/>
      <c r="I65" s="517"/>
      <c r="J65" s="518"/>
      <c r="K65" s="516"/>
      <c r="L65" s="517"/>
      <c r="M65" s="517"/>
      <c r="N65" s="518"/>
      <c r="O65" s="487"/>
      <c r="P65" s="488"/>
      <c r="Q65" s="488"/>
      <c r="R65" s="489"/>
      <c r="S65" s="487"/>
      <c r="T65" s="488"/>
      <c r="U65" s="488"/>
      <c r="V65" s="489"/>
      <c r="W65" s="487"/>
      <c r="X65" s="488"/>
      <c r="Y65" s="488"/>
      <c r="Z65" s="489"/>
      <c r="AA65" s="487"/>
      <c r="AB65" s="488"/>
      <c r="AC65" s="488"/>
      <c r="AD65" s="489"/>
    </row>
    <row r="66" spans="2:30" ht="15" customHeight="1" x14ac:dyDescent="0.3">
      <c r="B66" s="507"/>
      <c r="C66" s="508"/>
      <c r="D66" s="508"/>
      <c r="E66" s="508"/>
      <c r="F66" s="509"/>
      <c r="G66" s="516"/>
      <c r="H66" s="517"/>
      <c r="I66" s="517"/>
      <c r="J66" s="518"/>
      <c r="K66" s="516"/>
      <c r="L66" s="517"/>
      <c r="M66" s="517"/>
      <c r="N66" s="518"/>
      <c r="O66" s="487"/>
      <c r="P66" s="488"/>
      <c r="Q66" s="488"/>
      <c r="R66" s="489"/>
      <c r="S66" s="487"/>
      <c r="T66" s="488"/>
      <c r="U66" s="488"/>
      <c r="V66" s="489"/>
      <c r="W66" s="487"/>
      <c r="X66" s="488"/>
      <c r="Y66" s="488"/>
      <c r="Z66" s="489"/>
      <c r="AA66" s="487"/>
      <c r="AB66" s="488"/>
      <c r="AC66" s="488"/>
      <c r="AD66" s="489"/>
    </row>
    <row r="67" spans="2:30" ht="15" customHeight="1" x14ac:dyDescent="0.3">
      <c r="B67" s="507"/>
      <c r="C67" s="508"/>
      <c r="D67" s="508"/>
      <c r="E67" s="508"/>
      <c r="F67" s="509"/>
      <c r="G67" s="516"/>
      <c r="H67" s="517"/>
      <c r="I67" s="517"/>
      <c r="J67" s="518"/>
      <c r="K67" s="516"/>
      <c r="L67" s="517"/>
      <c r="M67" s="517"/>
      <c r="N67" s="518"/>
      <c r="O67" s="487"/>
      <c r="P67" s="488"/>
      <c r="Q67" s="488"/>
      <c r="R67" s="489"/>
      <c r="S67" s="487"/>
      <c r="T67" s="488"/>
      <c r="U67" s="488"/>
      <c r="V67" s="489"/>
      <c r="W67" s="487"/>
      <c r="X67" s="488"/>
      <c r="Y67" s="488"/>
      <c r="Z67" s="489"/>
      <c r="AA67" s="487"/>
      <c r="AB67" s="488"/>
      <c r="AC67" s="488"/>
      <c r="AD67" s="489"/>
    </row>
    <row r="68" spans="2:30" ht="15.75" customHeight="1" x14ac:dyDescent="0.3">
      <c r="B68" s="507"/>
      <c r="C68" s="508"/>
      <c r="D68" s="508"/>
      <c r="E68" s="508"/>
      <c r="F68" s="509"/>
      <c r="G68" s="516"/>
      <c r="H68" s="517"/>
      <c r="I68" s="517"/>
      <c r="J68" s="518"/>
      <c r="K68" s="516"/>
      <c r="L68" s="517"/>
      <c r="M68" s="517"/>
      <c r="N68" s="518"/>
      <c r="O68" s="487"/>
      <c r="P68" s="488"/>
      <c r="Q68" s="488"/>
      <c r="R68" s="489"/>
      <c r="S68" s="487"/>
      <c r="T68" s="488"/>
      <c r="U68" s="488"/>
      <c r="V68" s="489"/>
      <c r="W68" s="487"/>
      <c r="X68" s="488"/>
      <c r="Y68" s="488"/>
      <c r="Z68" s="489"/>
      <c r="AA68" s="487"/>
      <c r="AB68" s="488"/>
      <c r="AC68" s="488"/>
      <c r="AD68" s="489"/>
    </row>
    <row r="69" spans="2:30" ht="15.75" customHeight="1" thickBot="1" x14ac:dyDescent="0.35">
      <c r="B69" s="510"/>
      <c r="C69" s="511"/>
      <c r="D69" s="511"/>
      <c r="E69" s="511"/>
      <c r="F69" s="512"/>
      <c r="G69" s="519"/>
      <c r="H69" s="520"/>
      <c r="I69" s="520"/>
      <c r="J69" s="521"/>
      <c r="K69" s="519"/>
      <c r="L69" s="520"/>
      <c r="M69" s="520"/>
      <c r="N69" s="521"/>
      <c r="O69" s="490"/>
      <c r="P69" s="491"/>
      <c r="Q69" s="491"/>
      <c r="R69" s="492"/>
      <c r="S69" s="490"/>
      <c r="T69" s="491"/>
      <c r="U69" s="491"/>
      <c r="V69" s="492"/>
      <c r="W69" s="490"/>
      <c r="X69" s="491"/>
      <c r="Y69" s="491"/>
      <c r="Z69" s="492"/>
      <c r="AA69" s="490"/>
      <c r="AB69" s="491"/>
      <c r="AC69" s="491"/>
      <c r="AD69" s="492"/>
    </row>
  </sheetData>
  <mergeCells count="5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 ref="S10:AD10"/>
    <mergeCell ref="G8:J8"/>
    <mergeCell ref="K8:N8"/>
    <mergeCell ref="O8:R8"/>
    <mergeCell ref="AA50:AD50"/>
    <mergeCell ref="S50:V50"/>
    <mergeCell ref="W50:Z50"/>
    <mergeCell ref="AA49:AD49"/>
    <mergeCell ref="W49:Z49"/>
    <mergeCell ref="S49:V49"/>
    <mergeCell ref="O49:R49"/>
    <mergeCell ref="K49:N49"/>
    <mergeCell ref="G52:J52"/>
    <mergeCell ref="O51:R51"/>
    <mergeCell ref="O50:R50"/>
    <mergeCell ref="K50:N50"/>
    <mergeCell ref="S51:V51"/>
    <mergeCell ref="S52:V52"/>
    <mergeCell ref="K51:N51"/>
    <mergeCell ref="K52:N52"/>
    <mergeCell ref="O52:R52"/>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W52:Z52"/>
    <mergeCell ref="W51:Z51"/>
    <mergeCell ref="W53:Z69"/>
    <mergeCell ref="AA52:AD52"/>
    <mergeCell ref="AA51:AD51"/>
    <mergeCell ref="AA53:AD69"/>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4.4" x14ac:dyDescent="0.3"/>
  <cols>
    <col min="2" max="2" width="11" customWidth="1"/>
    <col min="3" max="3" width="12.33203125" bestFit="1" customWidth="1"/>
    <col min="4" max="4" width="24" bestFit="1" customWidth="1"/>
    <col min="6" max="6" width="9.33203125" bestFit="1" customWidth="1"/>
  </cols>
  <sheetData>
    <row r="1" spans="2:18" x14ac:dyDescent="0.3">
      <c r="B1" s="2"/>
      <c r="C1" s="6" t="s">
        <v>0</v>
      </c>
      <c r="D1" s="40"/>
      <c r="E1" s="234" t="s">
        <v>66</v>
      </c>
      <c r="F1" s="40"/>
      <c r="G1" s="40"/>
      <c r="H1" s="40"/>
      <c r="I1" s="40"/>
      <c r="J1" s="40"/>
      <c r="K1" s="40"/>
      <c r="L1" s="40"/>
      <c r="M1" s="40"/>
      <c r="N1" s="40"/>
      <c r="O1" s="40"/>
      <c r="P1" s="40"/>
      <c r="Q1" s="40"/>
      <c r="R1" s="40"/>
    </row>
    <row r="2" spans="2:18" x14ac:dyDescent="0.3">
      <c r="B2" s="3"/>
      <c r="C2" s="6" t="s">
        <v>1</v>
      </c>
      <c r="D2" s="40"/>
      <c r="E2" s="234"/>
      <c r="F2" s="40"/>
      <c r="G2" s="40"/>
      <c r="H2" s="40"/>
      <c r="I2" s="40"/>
      <c r="J2" s="40"/>
      <c r="K2" s="40"/>
      <c r="M2" s="40"/>
      <c r="N2" s="40"/>
      <c r="O2" s="40"/>
      <c r="P2" s="40"/>
      <c r="Q2" s="40"/>
      <c r="R2" s="40"/>
    </row>
    <row r="3" spans="2:18" x14ac:dyDescent="0.3">
      <c r="B3" s="4"/>
      <c r="C3" s="6" t="s">
        <v>3</v>
      </c>
      <c r="D3" s="40"/>
      <c r="E3" s="40"/>
      <c r="F3" s="40"/>
      <c r="G3" s="40"/>
      <c r="H3" s="40"/>
      <c r="I3" s="40"/>
      <c r="J3" s="40"/>
      <c r="K3" s="40"/>
      <c r="L3" s="40"/>
      <c r="M3" s="40"/>
      <c r="N3" s="40"/>
      <c r="O3" s="40"/>
      <c r="P3" s="40"/>
      <c r="Q3" s="40"/>
      <c r="R3" s="40"/>
    </row>
    <row r="4" spans="2:18" ht="15.6" x14ac:dyDescent="0.3">
      <c r="B4" s="5"/>
      <c r="C4" s="6" t="s">
        <v>4</v>
      </c>
      <c r="D4" s="40"/>
      <c r="E4" s="40"/>
      <c r="F4" s="40"/>
      <c r="G4" s="40"/>
      <c r="H4" s="40"/>
      <c r="I4" s="40"/>
      <c r="J4" s="40"/>
      <c r="K4" s="40"/>
      <c r="L4" s="163" t="s">
        <v>156</v>
      </c>
      <c r="M4" s="40"/>
      <c r="N4" s="40"/>
      <c r="O4" s="40"/>
      <c r="P4" s="40"/>
      <c r="Q4" s="40"/>
      <c r="R4" s="40"/>
    </row>
    <row r="5" spans="2:18" x14ac:dyDescent="0.3">
      <c r="B5" s="162"/>
      <c r="C5" s="6" t="s">
        <v>5</v>
      </c>
      <c r="D5" s="40"/>
      <c r="E5" s="40" t="s">
        <v>18</v>
      </c>
      <c r="F5" s="40"/>
      <c r="G5" s="40"/>
      <c r="H5" s="40"/>
      <c r="I5" s="40"/>
      <c r="J5" s="40"/>
      <c r="K5" s="40"/>
      <c r="L5" s="40"/>
      <c r="M5" s="40"/>
      <c r="N5" s="40"/>
      <c r="O5" s="40"/>
      <c r="P5" s="40"/>
      <c r="Q5" s="40"/>
      <c r="R5" s="40"/>
    </row>
    <row r="6" spans="2:18" x14ac:dyDescent="0.3">
      <c r="B6" s="128"/>
      <c r="C6" s="131" t="s">
        <v>69</v>
      </c>
      <c r="D6" s="40" t="s">
        <v>18</v>
      </c>
      <c r="E6" s="40"/>
      <c r="F6" s="40"/>
      <c r="G6" s="40"/>
      <c r="H6" s="40"/>
      <c r="I6" s="40"/>
      <c r="J6" s="40"/>
      <c r="K6" s="40"/>
      <c r="L6" s="40"/>
      <c r="M6" s="40"/>
      <c r="N6" s="40"/>
      <c r="O6" s="40"/>
      <c r="P6" s="40"/>
      <c r="Q6" s="40"/>
      <c r="R6" s="40"/>
    </row>
    <row r="7" spans="2:18" x14ac:dyDescent="0.3">
      <c r="B7" s="152"/>
      <c r="C7" s="131" t="s">
        <v>70</v>
      </c>
      <c r="D7" s="40"/>
      <c r="E7" s="40"/>
      <c r="F7" s="40"/>
      <c r="G7" s="561" t="s">
        <v>74</v>
      </c>
      <c r="H7" s="562"/>
      <c r="I7" s="562"/>
      <c r="J7" s="563"/>
      <c r="K7" s="558" t="s">
        <v>75</v>
      </c>
      <c r="L7" s="559"/>
      <c r="M7" s="559"/>
      <c r="N7" s="560"/>
      <c r="O7" s="555" t="s">
        <v>76</v>
      </c>
      <c r="P7" s="556"/>
      <c r="Q7" s="556"/>
      <c r="R7" s="557"/>
    </row>
    <row r="8" spans="2:18" ht="15" thickBot="1" x14ac:dyDescent="0.35">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 thickBot="1" x14ac:dyDescent="0.35">
      <c r="B9" s="289" t="s">
        <v>9</v>
      </c>
      <c r="C9" s="290" t="s">
        <v>10</v>
      </c>
      <c r="D9" s="290" t="s">
        <v>11</v>
      </c>
      <c r="E9" s="290" t="s">
        <v>12</v>
      </c>
      <c r="F9" s="291" t="s">
        <v>13</v>
      </c>
      <c r="G9" s="231"/>
      <c r="H9" s="231"/>
      <c r="I9" s="231"/>
      <c r="J9" s="231"/>
      <c r="K9" s="231"/>
      <c r="L9" s="231"/>
      <c r="M9" s="231"/>
      <c r="N9" s="231"/>
      <c r="O9" s="231"/>
      <c r="P9" s="231"/>
      <c r="Q9" s="231"/>
      <c r="R9" s="231"/>
    </row>
    <row r="10" spans="2:18" ht="29.4" thickBot="1" x14ac:dyDescent="0.35">
      <c r="B10" s="141" t="s">
        <v>157</v>
      </c>
      <c r="C10" s="142" t="s">
        <v>58</v>
      </c>
      <c r="D10" s="142" t="s">
        <v>59</v>
      </c>
      <c r="E10" s="143">
        <v>45658</v>
      </c>
      <c r="F10" s="292">
        <v>46386</v>
      </c>
      <c r="G10" s="52"/>
      <c r="H10" s="52"/>
      <c r="I10" s="52"/>
      <c r="J10" s="229"/>
      <c r="K10" s="52"/>
      <c r="L10" s="52"/>
      <c r="M10" s="52"/>
      <c r="N10" s="230"/>
      <c r="O10" s="52"/>
      <c r="P10" s="52"/>
      <c r="Q10" s="52"/>
      <c r="R10" s="230"/>
    </row>
    <row r="11" spans="2:18" ht="43.8" thickBot="1" x14ac:dyDescent="0.35">
      <c r="B11" s="141" t="s">
        <v>85</v>
      </c>
      <c r="C11" s="142" t="s">
        <v>61</v>
      </c>
      <c r="D11" s="142" t="s">
        <v>59</v>
      </c>
      <c r="E11" s="143">
        <v>45658</v>
      </c>
      <c r="F11" s="292">
        <v>46386</v>
      </c>
      <c r="G11" s="38"/>
      <c r="H11" s="38"/>
      <c r="I11" s="38"/>
      <c r="J11" s="136"/>
      <c r="K11" s="38"/>
      <c r="L11" s="38"/>
      <c r="M11" s="38"/>
      <c r="N11" s="42"/>
      <c r="O11" s="38"/>
      <c r="P11" s="38"/>
      <c r="Q11" s="38"/>
      <c r="R11" s="42"/>
    </row>
    <row r="12" spans="2:18" ht="29.4" thickBot="1" x14ac:dyDescent="0.35">
      <c r="B12" s="141" t="s">
        <v>158</v>
      </c>
      <c r="C12" s="142" t="s">
        <v>63</v>
      </c>
      <c r="D12" s="142" t="s">
        <v>59</v>
      </c>
      <c r="E12" s="143">
        <v>45658</v>
      </c>
      <c r="F12" s="292">
        <v>46386</v>
      </c>
      <c r="G12" s="38"/>
      <c r="H12" s="38"/>
      <c r="I12" s="38"/>
      <c r="J12" s="136"/>
      <c r="K12" s="38"/>
      <c r="L12" s="38"/>
      <c r="M12" s="38"/>
      <c r="N12" s="42"/>
      <c r="O12" s="38"/>
      <c r="P12" s="38"/>
      <c r="Q12" s="38"/>
      <c r="R12" s="42"/>
    </row>
    <row r="13" spans="2:18" ht="29.4" thickBot="1" x14ac:dyDescent="0.35">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 thickBot="1" x14ac:dyDescent="0.35">
      <c r="B14" s="568" t="s">
        <v>159</v>
      </c>
      <c r="C14" s="146" t="s">
        <v>91</v>
      </c>
      <c r="D14" s="146" t="s">
        <v>92</v>
      </c>
      <c r="E14" s="300">
        <v>46088</v>
      </c>
      <c r="F14" s="300">
        <v>46097</v>
      </c>
      <c r="G14" s="194"/>
      <c r="H14" s="194"/>
      <c r="I14" s="13"/>
      <c r="J14" s="63"/>
      <c r="K14" s="265"/>
      <c r="L14" s="265"/>
      <c r="M14" s="265"/>
      <c r="N14" s="177"/>
      <c r="O14" s="265"/>
      <c r="P14" s="265"/>
      <c r="Q14" s="265"/>
      <c r="R14" s="266"/>
    </row>
    <row r="15" spans="2:18" ht="15" thickBot="1" x14ac:dyDescent="0.35">
      <c r="B15" s="569"/>
      <c r="C15" s="228" t="s">
        <v>93</v>
      </c>
      <c r="D15" s="228" t="s">
        <v>94</v>
      </c>
      <c r="E15" s="300">
        <v>46112</v>
      </c>
      <c r="F15" s="300">
        <v>46146</v>
      </c>
      <c r="G15" s="16"/>
      <c r="H15" s="16"/>
      <c r="I15" s="16"/>
      <c r="J15" s="65"/>
      <c r="K15" s="125"/>
      <c r="L15" s="125"/>
      <c r="M15" s="125"/>
      <c r="N15" s="225"/>
      <c r="O15" s="125"/>
      <c r="P15" s="149"/>
      <c r="Q15" s="149"/>
      <c r="R15" s="267"/>
    </row>
    <row r="16" spans="2:18" ht="15" thickBot="1" x14ac:dyDescent="0.35">
      <c r="B16" s="568" t="s">
        <v>160</v>
      </c>
      <c r="C16" s="263" t="s">
        <v>27</v>
      </c>
      <c r="D16" s="263" t="s">
        <v>99</v>
      </c>
      <c r="E16" s="300">
        <v>46108</v>
      </c>
      <c r="F16" s="300">
        <v>46140</v>
      </c>
      <c r="G16" s="30"/>
      <c r="H16" s="22"/>
      <c r="I16" s="22"/>
      <c r="J16" s="293"/>
      <c r="K16" s="21"/>
      <c r="L16" s="21"/>
      <c r="M16" s="294"/>
      <c r="N16" s="147"/>
      <c r="O16" s="148"/>
      <c r="P16" s="148"/>
      <c r="Q16" s="148"/>
      <c r="R16" s="264"/>
    </row>
    <row r="17" spans="2:18" ht="15" thickBot="1" x14ac:dyDescent="0.35">
      <c r="B17" s="570"/>
      <c r="C17" s="296" t="s">
        <v>27</v>
      </c>
      <c r="D17" s="297" t="s">
        <v>100</v>
      </c>
      <c r="E17" s="304">
        <v>46140</v>
      </c>
      <c r="F17" s="304">
        <v>46166</v>
      </c>
      <c r="G17" s="15"/>
      <c r="H17" s="16"/>
      <c r="I17" s="16"/>
      <c r="J17" s="65"/>
      <c r="K17" s="16"/>
      <c r="L17" s="16"/>
      <c r="M17" s="16" t="s">
        <v>18</v>
      </c>
      <c r="N17" s="225"/>
      <c r="O17" s="125"/>
      <c r="P17" s="125"/>
      <c r="Q17" s="125" t="s">
        <v>18</v>
      </c>
      <c r="R17" s="271"/>
    </row>
    <row r="18" spans="2:18" x14ac:dyDescent="0.3">
      <c r="B18" s="571" t="s">
        <v>161</v>
      </c>
      <c r="C18" s="122" t="s">
        <v>38</v>
      </c>
      <c r="D18" s="119" t="s">
        <v>104</v>
      </c>
      <c r="E18" s="158">
        <v>46089</v>
      </c>
      <c r="F18" s="174">
        <v>46106</v>
      </c>
      <c r="G18" s="13"/>
      <c r="H18" s="10"/>
      <c r="I18" s="10"/>
      <c r="J18" s="132"/>
      <c r="K18" s="164"/>
      <c r="L18" s="265"/>
      <c r="M18" s="265"/>
      <c r="N18" s="177"/>
      <c r="O18" s="265"/>
      <c r="P18" s="265"/>
      <c r="Q18" s="265"/>
      <c r="R18" s="266"/>
    </row>
    <row r="19" spans="2:18" ht="15" thickBot="1" x14ac:dyDescent="0.35">
      <c r="B19" s="572"/>
      <c r="C19" s="123" t="s">
        <v>38</v>
      </c>
      <c r="D19" s="232" t="s">
        <v>105</v>
      </c>
      <c r="E19" s="159">
        <v>46106</v>
      </c>
      <c r="F19" s="233" t="s">
        <v>25</v>
      </c>
      <c r="G19" s="13"/>
      <c r="H19" s="13"/>
      <c r="I19" s="13"/>
      <c r="J19" s="178"/>
      <c r="K19" s="216"/>
      <c r="L19" s="265"/>
      <c r="M19" s="265"/>
      <c r="N19" s="177"/>
      <c r="O19" s="265" t="s">
        <v>18</v>
      </c>
      <c r="P19" s="265"/>
      <c r="Q19" s="265"/>
      <c r="R19" s="266"/>
    </row>
    <row r="20" spans="2:18" ht="15" thickBot="1" x14ac:dyDescent="0.35">
      <c r="B20" s="571" t="s">
        <v>162</v>
      </c>
      <c r="C20" s="119" t="s">
        <v>44</v>
      </c>
      <c r="D20" s="298" t="s">
        <v>107</v>
      </c>
      <c r="E20" s="300">
        <v>46066</v>
      </c>
      <c r="F20" s="301">
        <v>46138</v>
      </c>
      <c r="G20" s="27"/>
      <c r="H20" s="28"/>
      <c r="I20" s="28"/>
      <c r="J20" s="165"/>
      <c r="K20" s="295"/>
      <c r="L20" s="295"/>
      <c r="M20" s="295"/>
      <c r="N20" s="147"/>
      <c r="O20" s="148"/>
      <c r="P20" s="148"/>
      <c r="Q20" s="148"/>
      <c r="R20" s="264"/>
    </row>
    <row r="21" spans="2:18" ht="15" thickBot="1" x14ac:dyDescent="0.35">
      <c r="B21" s="572"/>
      <c r="C21" s="284" t="s">
        <v>44</v>
      </c>
      <c r="D21" s="232" t="s">
        <v>108</v>
      </c>
      <c r="E21" s="302">
        <v>46138</v>
      </c>
      <c r="F21" s="303">
        <v>46162</v>
      </c>
      <c r="G21" s="15"/>
      <c r="H21" s="16"/>
      <c r="I21" s="16"/>
      <c r="J21" s="65"/>
      <c r="K21" s="16"/>
      <c r="L21" s="16"/>
      <c r="M21" s="16"/>
      <c r="N21" s="133"/>
      <c r="O21" s="274"/>
      <c r="P21" s="274"/>
      <c r="Q21" s="274"/>
      <c r="R21" s="275"/>
    </row>
    <row r="22" spans="2:18" ht="15" thickBot="1" x14ac:dyDescent="0.35">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x14ac:dyDescent="0.3">
      <c r="B23" s="573" t="s">
        <v>115</v>
      </c>
      <c r="C23" s="119" t="s">
        <v>20</v>
      </c>
      <c r="D23" s="119" t="s">
        <v>116</v>
      </c>
      <c r="E23" s="120">
        <v>46023</v>
      </c>
      <c r="F23" s="286">
        <v>46094</v>
      </c>
      <c r="G23" s="27"/>
      <c r="H23" s="28"/>
      <c r="I23" s="279"/>
      <c r="J23" s="140"/>
      <c r="K23" s="148"/>
      <c r="L23" s="148"/>
      <c r="M23" s="148"/>
      <c r="N23" s="147"/>
      <c r="O23" s="148"/>
      <c r="P23" s="148"/>
      <c r="Q23" s="148"/>
      <c r="R23" s="264"/>
    </row>
    <row r="24" spans="2:18" ht="15" thickBot="1" x14ac:dyDescent="0.35">
      <c r="B24" s="574"/>
      <c r="C24" s="124" t="s">
        <v>20</v>
      </c>
      <c r="D24" s="124" t="s">
        <v>117</v>
      </c>
      <c r="E24" s="287">
        <v>46132</v>
      </c>
      <c r="F24" s="288">
        <v>46173</v>
      </c>
      <c r="G24" s="282"/>
      <c r="H24" s="265"/>
      <c r="I24" s="265"/>
      <c r="J24" s="177"/>
      <c r="K24" s="265"/>
      <c r="L24" s="265"/>
      <c r="M24" s="265"/>
      <c r="N24" s="198"/>
      <c r="O24" s="219"/>
      <c r="P24" s="219"/>
      <c r="Q24" s="219"/>
      <c r="R24" s="281"/>
    </row>
    <row r="25" spans="2:18" x14ac:dyDescent="0.3">
      <c r="B25" s="568" t="s">
        <v>163</v>
      </c>
      <c r="C25" s="119" t="s">
        <v>113</v>
      </c>
      <c r="D25" s="119" t="s">
        <v>120</v>
      </c>
      <c r="E25" s="120">
        <v>46042</v>
      </c>
      <c r="F25" s="286">
        <v>46105</v>
      </c>
      <c r="G25" s="20"/>
      <c r="H25" s="21"/>
      <c r="I25" s="21"/>
      <c r="J25" s="293"/>
      <c r="K25" s="21"/>
      <c r="L25" s="21"/>
      <c r="M25" s="21"/>
      <c r="N25" s="293"/>
      <c r="O25" s="22"/>
      <c r="P25" s="22"/>
      <c r="Q25" s="22"/>
      <c r="R25" s="23"/>
    </row>
    <row r="26" spans="2:18" ht="15" thickBot="1" x14ac:dyDescent="0.35">
      <c r="B26" s="569"/>
      <c r="C26" s="124" t="s">
        <v>113</v>
      </c>
      <c r="D26" s="124" t="s">
        <v>164</v>
      </c>
      <c r="E26" s="287">
        <v>46092</v>
      </c>
      <c r="F26" s="288">
        <v>46098</v>
      </c>
      <c r="G26" s="15"/>
      <c r="H26" s="283"/>
      <c r="I26" s="16"/>
      <c r="J26" s="65"/>
      <c r="K26" s="16"/>
      <c r="L26" s="16"/>
      <c r="M26" s="16"/>
      <c r="N26" s="65"/>
      <c r="O26" s="16"/>
      <c r="P26" s="16"/>
      <c r="Q26" s="16"/>
      <c r="R26" s="24"/>
    </row>
    <row r="27" spans="2:18" ht="15" thickBot="1" x14ac:dyDescent="0.35">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 thickBot="1" x14ac:dyDescent="0.35">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 thickBot="1" x14ac:dyDescent="0.35">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8.600000000000001" thickBot="1" x14ac:dyDescent="0.35">
      <c r="B30" s="501" t="s">
        <v>131</v>
      </c>
      <c r="C30" s="502"/>
      <c r="D30" s="502"/>
      <c r="E30" s="502"/>
      <c r="F30" s="502"/>
      <c r="G30" s="501" t="s">
        <v>134</v>
      </c>
      <c r="H30" s="502"/>
      <c r="I30" s="502"/>
      <c r="J30" s="567"/>
      <c r="K30" s="497" t="s">
        <v>135</v>
      </c>
      <c r="L30" s="498"/>
      <c r="M30" s="498"/>
      <c r="N30" s="499"/>
      <c r="O30" s="497"/>
      <c r="P30" s="498"/>
      <c r="Q30" s="498"/>
      <c r="R30" s="499"/>
    </row>
    <row r="31" spans="2:18" ht="18.600000000000001" thickBot="1" x14ac:dyDescent="0.35">
      <c r="B31" s="523" t="s">
        <v>137</v>
      </c>
      <c r="C31" s="524"/>
      <c r="D31" s="524"/>
      <c r="E31" s="524"/>
      <c r="F31" s="524"/>
      <c r="G31" s="523" t="s">
        <v>139</v>
      </c>
      <c r="H31" s="524"/>
      <c r="I31" s="524"/>
      <c r="J31" s="554"/>
      <c r="K31" s="523" t="s">
        <v>138</v>
      </c>
      <c r="L31" s="524"/>
      <c r="M31" s="524"/>
      <c r="N31" s="554"/>
      <c r="O31" s="523" t="s">
        <v>138</v>
      </c>
      <c r="P31" s="524"/>
      <c r="Q31" s="524"/>
      <c r="R31" s="554"/>
    </row>
    <row r="32" spans="2:18" ht="18.600000000000001" thickBot="1" x14ac:dyDescent="0.35">
      <c r="B32" s="481" t="s">
        <v>140</v>
      </c>
      <c r="C32" s="482"/>
      <c r="D32" s="482"/>
      <c r="E32" s="482"/>
      <c r="F32" s="482"/>
      <c r="G32" s="481" t="s">
        <v>143</v>
      </c>
      <c r="H32" s="482"/>
      <c r="I32" s="482"/>
      <c r="J32" s="494"/>
      <c r="K32" s="481" t="s">
        <v>142</v>
      </c>
      <c r="L32" s="482"/>
      <c r="M32" s="482"/>
      <c r="N32" s="494"/>
      <c r="O32" s="481" t="s">
        <v>142</v>
      </c>
      <c r="P32" s="482"/>
      <c r="Q32" s="482"/>
      <c r="R32" s="494"/>
    </row>
    <row r="33" spans="2:18" ht="18.600000000000001" thickBot="1" x14ac:dyDescent="0.35">
      <c r="B33" s="564" t="s">
        <v>144</v>
      </c>
      <c r="C33" s="565"/>
      <c r="D33" s="565"/>
      <c r="E33" s="565"/>
      <c r="F33" s="566"/>
      <c r="G33" s="478" t="s">
        <v>147</v>
      </c>
      <c r="H33" s="479"/>
      <c r="I33" s="479"/>
      <c r="J33" s="493"/>
      <c r="K33" s="478" t="s">
        <v>165</v>
      </c>
      <c r="L33" s="479"/>
      <c r="M33" s="479"/>
      <c r="N33" s="493"/>
      <c r="O33" s="478"/>
      <c r="P33" s="479"/>
      <c r="Q33" s="479"/>
      <c r="R33" s="493"/>
    </row>
    <row r="34" spans="2:18" x14ac:dyDescent="0.3">
      <c r="B34" s="504" t="s">
        <v>148</v>
      </c>
      <c r="C34" s="505"/>
      <c r="D34" s="505"/>
      <c r="E34" s="505"/>
      <c r="F34" s="506"/>
      <c r="G34" s="484" t="s">
        <v>151</v>
      </c>
      <c r="H34" s="485"/>
      <c r="I34" s="485"/>
      <c r="J34" s="486"/>
      <c r="K34" s="484" t="s">
        <v>152</v>
      </c>
      <c r="L34" s="485"/>
      <c r="M34" s="485"/>
      <c r="N34" s="486"/>
      <c r="O34" s="484" t="s">
        <v>166</v>
      </c>
      <c r="P34" s="485"/>
      <c r="Q34" s="485"/>
      <c r="R34" s="486"/>
    </row>
    <row r="35" spans="2:18" x14ac:dyDescent="0.3">
      <c r="B35" s="507"/>
      <c r="C35" s="508"/>
      <c r="D35" s="508"/>
      <c r="E35" s="508"/>
      <c r="F35" s="509"/>
      <c r="G35" s="487"/>
      <c r="H35" s="488"/>
      <c r="I35" s="488"/>
      <c r="J35" s="489"/>
      <c r="K35" s="487"/>
      <c r="L35" s="488"/>
      <c r="M35" s="488"/>
      <c r="N35" s="489"/>
      <c r="O35" s="487"/>
      <c r="P35" s="488"/>
      <c r="Q35" s="488"/>
      <c r="R35" s="489"/>
    </row>
    <row r="36" spans="2:18" x14ac:dyDescent="0.3">
      <c r="B36" s="507"/>
      <c r="C36" s="508"/>
      <c r="D36" s="508"/>
      <c r="E36" s="508"/>
      <c r="F36" s="509"/>
      <c r="G36" s="487"/>
      <c r="H36" s="488"/>
      <c r="I36" s="488"/>
      <c r="J36" s="489"/>
      <c r="K36" s="487"/>
      <c r="L36" s="488"/>
      <c r="M36" s="488"/>
      <c r="N36" s="489"/>
      <c r="O36" s="487"/>
      <c r="P36" s="488"/>
      <c r="Q36" s="488"/>
      <c r="R36" s="489"/>
    </row>
    <row r="37" spans="2:18" x14ac:dyDescent="0.3">
      <c r="B37" s="507"/>
      <c r="C37" s="508"/>
      <c r="D37" s="508"/>
      <c r="E37" s="508"/>
      <c r="F37" s="509"/>
      <c r="G37" s="487"/>
      <c r="H37" s="488"/>
      <c r="I37" s="488"/>
      <c r="J37" s="489"/>
      <c r="K37" s="487"/>
      <c r="L37" s="488"/>
      <c r="M37" s="488"/>
      <c r="N37" s="489"/>
      <c r="O37" s="487"/>
      <c r="P37" s="488"/>
      <c r="Q37" s="488"/>
      <c r="R37" s="489"/>
    </row>
    <row r="38" spans="2:18" x14ac:dyDescent="0.3">
      <c r="B38" s="507"/>
      <c r="C38" s="508"/>
      <c r="D38" s="508"/>
      <c r="E38" s="508"/>
      <c r="F38" s="509"/>
      <c r="G38" s="487"/>
      <c r="H38" s="488"/>
      <c r="I38" s="488"/>
      <c r="J38" s="489"/>
      <c r="K38" s="487"/>
      <c r="L38" s="488"/>
      <c r="M38" s="488"/>
      <c r="N38" s="489"/>
      <c r="O38" s="487"/>
      <c r="P38" s="488"/>
      <c r="Q38" s="488"/>
      <c r="R38" s="489"/>
    </row>
    <row r="39" spans="2:18" x14ac:dyDescent="0.3">
      <c r="B39" s="507"/>
      <c r="C39" s="508"/>
      <c r="D39" s="508"/>
      <c r="E39" s="508"/>
      <c r="F39" s="509"/>
      <c r="G39" s="487"/>
      <c r="H39" s="488"/>
      <c r="I39" s="488"/>
      <c r="J39" s="489"/>
      <c r="K39" s="487"/>
      <c r="L39" s="488"/>
      <c r="M39" s="488"/>
      <c r="N39" s="489"/>
      <c r="O39" s="487"/>
      <c r="P39" s="488"/>
      <c r="Q39" s="488"/>
      <c r="R39" s="489"/>
    </row>
    <row r="40" spans="2:18" x14ac:dyDescent="0.3">
      <c r="B40" s="507"/>
      <c r="C40" s="508"/>
      <c r="D40" s="508"/>
      <c r="E40" s="508"/>
      <c r="F40" s="509"/>
      <c r="G40" s="487"/>
      <c r="H40" s="488"/>
      <c r="I40" s="488"/>
      <c r="J40" s="489"/>
      <c r="K40" s="487"/>
      <c r="L40" s="488"/>
      <c r="M40" s="488"/>
      <c r="N40" s="489"/>
      <c r="O40" s="487"/>
      <c r="P40" s="488"/>
      <c r="Q40" s="488"/>
      <c r="R40" s="489"/>
    </row>
    <row r="41" spans="2:18" x14ac:dyDescent="0.3">
      <c r="B41" s="507"/>
      <c r="C41" s="508"/>
      <c r="D41" s="508"/>
      <c r="E41" s="508"/>
      <c r="F41" s="509"/>
      <c r="G41" s="487"/>
      <c r="H41" s="488"/>
      <c r="I41" s="488"/>
      <c r="J41" s="489"/>
      <c r="K41" s="487"/>
      <c r="L41" s="488"/>
      <c r="M41" s="488"/>
      <c r="N41" s="489"/>
      <c r="O41" s="487"/>
      <c r="P41" s="488"/>
      <c r="Q41" s="488"/>
      <c r="R41" s="489"/>
    </row>
    <row r="42" spans="2:18" x14ac:dyDescent="0.3">
      <c r="B42" s="507"/>
      <c r="C42" s="508"/>
      <c r="D42" s="508"/>
      <c r="E42" s="508"/>
      <c r="F42" s="509"/>
      <c r="G42" s="487"/>
      <c r="H42" s="488"/>
      <c r="I42" s="488"/>
      <c r="J42" s="489"/>
      <c r="K42" s="487"/>
      <c r="L42" s="488"/>
      <c r="M42" s="488"/>
      <c r="N42" s="489"/>
      <c r="O42" s="487"/>
      <c r="P42" s="488"/>
      <c r="Q42" s="488"/>
      <c r="R42" s="489"/>
    </row>
    <row r="43" spans="2:18" x14ac:dyDescent="0.3">
      <c r="B43" s="507"/>
      <c r="C43" s="508"/>
      <c r="D43" s="508"/>
      <c r="E43" s="508"/>
      <c r="F43" s="509"/>
      <c r="G43" s="487"/>
      <c r="H43" s="488"/>
      <c r="I43" s="488"/>
      <c r="J43" s="489"/>
      <c r="K43" s="487"/>
      <c r="L43" s="488"/>
      <c r="M43" s="488"/>
      <c r="N43" s="489"/>
      <c r="O43" s="487"/>
      <c r="P43" s="488"/>
      <c r="Q43" s="488"/>
      <c r="R43" s="489"/>
    </row>
    <row r="44" spans="2:18" x14ac:dyDescent="0.3">
      <c r="B44" s="507"/>
      <c r="C44" s="508"/>
      <c r="D44" s="508"/>
      <c r="E44" s="508"/>
      <c r="F44" s="509"/>
      <c r="G44" s="487"/>
      <c r="H44" s="488"/>
      <c r="I44" s="488"/>
      <c r="J44" s="489"/>
      <c r="K44" s="487"/>
      <c r="L44" s="488"/>
      <c r="M44" s="488"/>
      <c r="N44" s="489"/>
      <c r="O44" s="487"/>
      <c r="P44" s="488"/>
      <c r="Q44" s="488"/>
      <c r="R44" s="489"/>
    </row>
    <row r="45" spans="2:18" x14ac:dyDescent="0.3">
      <c r="B45" s="507"/>
      <c r="C45" s="508"/>
      <c r="D45" s="508"/>
      <c r="E45" s="508"/>
      <c r="F45" s="509"/>
      <c r="G45" s="487"/>
      <c r="H45" s="488"/>
      <c r="I45" s="488"/>
      <c r="J45" s="489"/>
      <c r="K45" s="487"/>
      <c r="L45" s="488"/>
      <c r="M45" s="488"/>
      <c r="N45" s="489"/>
      <c r="O45" s="487"/>
      <c r="P45" s="488"/>
      <c r="Q45" s="488"/>
      <c r="R45" s="489"/>
    </row>
    <row r="46" spans="2:18" x14ac:dyDescent="0.3">
      <c r="B46" s="507"/>
      <c r="C46" s="508"/>
      <c r="D46" s="508"/>
      <c r="E46" s="508"/>
      <c r="F46" s="509"/>
      <c r="G46" s="487"/>
      <c r="H46" s="488"/>
      <c r="I46" s="488"/>
      <c r="J46" s="489"/>
      <c r="K46" s="487"/>
      <c r="L46" s="488"/>
      <c r="M46" s="488"/>
      <c r="N46" s="489"/>
      <c r="O46" s="487"/>
      <c r="P46" s="488"/>
      <c r="Q46" s="488"/>
      <c r="R46" s="489"/>
    </row>
    <row r="47" spans="2:18" x14ac:dyDescent="0.3">
      <c r="B47" s="507"/>
      <c r="C47" s="508"/>
      <c r="D47" s="508"/>
      <c r="E47" s="508"/>
      <c r="F47" s="509"/>
      <c r="G47" s="487"/>
      <c r="H47" s="488"/>
      <c r="I47" s="488"/>
      <c r="J47" s="489"/>
      <c r="K47" s="487"/>
      <c r="L47" s="488"/>
      <c r="M47" s="488"/>
      <c r="N47" s="489"/>
      <c r="O47" s="487"/>
      <c r="P47" s="488"/>
      <c r="Q47" s="488"/>
      <c r="R47" s="489"/>
    </row>
    <row r="48" spans="2:18" x14ac:dyDescent="0.3">
      <c r="B48" s="507"/>
      <c r="C48" s="508"/>
      <c r="D48" s="508"/>
      <c r="E48" s="508"/>
      <c r="F48" s="509"/>
      <c r="G48" s="487"/>
      <c r="H48" s="488"/>
      <c r="I48" s="488"/>
      <c r="J48" s="489"/>
      <c r="K48" s="487"/>
      <c r="L48" s="488"/>
      <c r="M48" s="488"/>
      <c r="N48" s="489"/>
      <c r="O48" s="487"/>
      <c r="P48" s="488"/>
      <c r="Q48" s="488"/>
      <c r="R48" s="489"/>
    </row>
    <row r="49" spans="2:18" x14ac:dyDescent="0.3">
      <c r="B49" s="507"/>
      <c r="C49" s="508"/>
      <c r="D49" s="508"/>
      <c r="E49" s="508"/>
      <c r="F49" s="509"/>
      <c r="G49" s="487"/>
      <c r="H49" s="488"/>
      <c r="I49" s="488"/>
      <c r="J49" s="489"/>
      <c r="K49" s="487"/>
      <c r="L49" s="488"/>
      <c r="M49" s="488"/>
      <c r="N49" s="489"/>
      <c r="O49" s="487"/>
      <c r="P49" s="488"/>
      <c r="Q49" s="488"/>
      <c r="R49" s="489"/>
    </row>
    <row r="50" spans="2:18" ht="15" thickBot="1" x14ac:dyDescent="0.35">
      <c r="B50" s="510"/>
      <c r="C50" s="511"/>
      <c r="D50" s="511"/>
      <c r="E50" s="511"/>
      <c r="F50" s="512"/>
      <c r="G50" s="490"/>
      <c r="H50" s="491"/>
      <c r="I50" s="491"/>
      <c r="J50" s="492"/>
      <c r="K50" s="490"/>
      <c r="L50" s="491"/>
      <c r="M50" s="491"/>
      <c r="N50" s="492"/>
      <c r="O50" s="490"/>
      <c r="P50" s="491"/>
      <c r="Q50" s="491"/>
      <c r="R50" s="492"/>
    </row>
  </sheetData>
  <mergeCells count="29">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 ref="B30:F30"/>
    <mergeCell ref="B31:F31"/>
    <mergeCell ref="B32:F32"/>
    <mergeCell ref="K30:N30"/>
    <mergeCell ref="O30:R30"/>
    <mergeCell ref="G31:J31"/>
    <mergeCell ref="K31:N31"/>
    <mergeCell ref="O31:R31"/>
    <mergeCell ref="K33:N33"/>
    <mergeCell ref="O33:R33"/>
    <mergeCell ref="G34:J50"/>
    <mergeCell ref="K34:N50"/>
    <mergeCell ref="O34:R50"/>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 customHeight="1" x14ac:dyDescent="0.3"/>
  <cols>
    <col min="4" max="4" width="17.109375" customWidth="1"/>
    <col min="5" max="5" width="23.44140625" customWidth="1"/>
    <col min="6" max="6" width="60" style="322" customWidth="1"/>
    <col min="7" max="8" width="23.44140625" customWidth="1"/>
    <col min="9" max="9" width="51.33203125" customWidth="1"/>
    <col min="10" max="10" width="23.44140625" customWidth="1"/>
  </cols>
  <sheetData>
    <row r="6" spans="4:10" ht="50.4" customHeight="1" thickBot="1" x14ac:dyDescent="0.35">
      <c r="E6" s="318" t="s">
        <v>167</v>
      </c>
    </row>
    <row r="7" spans="4:10" ht="50.4" customHeight="1" thickBot="1" x14ac:dyDescent="0.35">
      <c r="D7" s="319" t="s">
        <v>168</v>
      </c>
      <c r="E7" s="319" t="s">
        <v>169</v>
      </c>
      <c r="F7" s="319" t="s">
        <v>170</v>
      </c>
      <c r="G7" s="319" t="s">
        <v>171</v>
      </c>
      <c r="H7" s="319" t="s">
        <v>172</v>
      </c>
      <c r="I7" s="319" t="s">
        <v>173</v>
      </c>
      <c r="J7" s="319" t="s">
        <v>174</v>
      </c>
    </row>
    <row r="8" spans="4:10" ht="50.4" customHeight="1" thickBot="1" x14ac:dyDescent="0.35">
      <c r="D8" s="320" t="s">
        <v>175</v>
      </c>
      <c r="E8" s="320" t="s">
        <v>176</v>
      </c>
      <c r="F8" s="321" t="s">
        <v>177</v>
      </c>
      <c r="G8" s="321" t="s">
        <v>178</v>
      </c>
      <c r="H8" s="320" t="s">
        <v>179</v>
      </c>
      <c r="I8" s="321" t="s">
        <v>180</v>
      </c>
      <c r="J8" s="320" t="s">
        <v>181</v>
      </c>
    </row>
    <row r="9" spans="4:10" ht="50.4" customHeight="1" thickBot="1" x14ac:dyDescent="0.35">
      <c r="D9" s="320" t="s">
        <v>182</v>
      </c>
      <c r="E9" s="320" t="s">
        <v>176</v>
      </c>
      <c r="F9" s="321" t="s">
        <v>183</v>
      </c>
      <c r="G9" s="321" t="s">
        <v>184</v>
      </c>
      <c r="H9" s="320" t="s">
        <v>185</v>
      </c>
      <c r="I9" s="321" t="s">
        <v>186</v>
      </c>
      <c r="J9" s="320" t="s">
        <v>181</v>
      </c>
    </row>
    <row r="10" spans="4:10" ht="50.4" customHeight="1" thickBot="1" x14ac:dyDescent="0.35">
      <c r="D10" s="320" t="s">
        <v>187</v>
      </c>
      <c r="E10" s="320" t="s">
        <v>188</v>
      </c>
      <c r="F10" s="321" t="s">
        <v>189</v>
      </c>
      <c r="G10" s="321" t="s">
        <v>190</v>
      </c>
      <c r="H10" s="320" t="s">
        <v>185</v>
      </c>
      <c r="I10" s="321" t="s">
        <v>191</v>
      </c>
      <c r="J10" s="320" t="s">
        <v>192</v>
      </c>
    </row>
    <row r="11" spans="4:10" ht="50.4" customHeight="1" thickBot="1" x14ac:dyDescent="0.35">
      <c r="D11" s="320" t="s">
        <v>193</v>
      </c>
      <c r="E11" s="320" t="s">
        <v>188</v>
      </c>
      <c r="F11" s="321" t="s">
        <v>194</v>
      </c>
      <c r="G11" s="321" t="s">
        <v>195</v>
      </c>
      <c r="H11" s="320" t="s">
        <v>185</v>
      </c>
      <c r="I11" s="321" t="s">
        <v>196</v>
      </c>
      <c r="J11" s="320" t="s">
        <v>197</v>
      </c>
    </row>
    <row r="12" spans="4:10" ht="50.4" customHeight="1" thickBot="1" x14ac:dyDescent="0.35">
      <c r="D12" s="320" t="s">
        <v>198</v>
      </c>
      <c r="E12" s="320" t="s">
        <v>199</v>
      </c>
      <c r="F12" s="321" t="s">
        <v>200</v>
      </c>
      <c r="G12" s="321" t="s">
        <v>201</v>
      </c>
      <c r="H12" s="320" t="s">
        <v>202</v>
      </c>
      <c r="I12" s="321" t="s">
        <v>203</v>
      </c>
      <c r="J12" s="320" t="s">
        <v>204</v>
      </c>
    </row>
    <row r="13" spans="4:10" ht="50.4" customHeight="1" thickBot="1" x14ac:dyDescent="0.35">
      <c r="D13" s="320" t="s">
        <v>205</v>
      </c>
      <c r="E13" s="320" t="s">
        <v>199</v>
      </c>
      <c r="F13" s="321" t="s">
        <v>206</v>
      </c>
      <c r="G13" s="321" t="s">
        <v>207</v>
      </c>
      <c r="H13" s="320" t="s">
        <v>185</v>
      </c>
      <c r="I13" s="321" t="s">
        <v>208</v>
      </c>
      <c r="J13" s="320" t="s">
        <v>209</v>
      </c>
    </row>
    <row r="14" spans="4:10" ht="50.4" customHeight="1" thickBot="1" x14ac:dyDescent="0.35">
      <c r="D14" s="320" t="s">
        <v>210</v>
      </c>
      <c r="E14" s="320" t="s">
        <v>211</v>
      </c>
      <c r="F14" s="321" t="s">
        <v>212</v>
      </c>
      <c r="G14" s="321" t="s">
        <v>213</v>
      </c>
      <c r="H14" s="320" t="s">
        <v>214</v>
      </c>
      <c r="I14" s="321" t="s">
        <v>215</v>
      </c>
      <c r="J14" s="320" t="s">
        <v>216</v>
      </c>
    </row>
    <row r="15" spans="4:10" ht="50.4" customHeight="1" thickBot="1" x14ac:dyDescent="0.35">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78"/>
  <sheetViews>
    <sheetView tabSelected="1" zoomScaleNormal="85" workbookViewId="0">
      <pane ySplit="38" topLeftCell="A167" activePane="bottomLeft" state="frozen"/>
      <selection pane="bottomLeft" activeCell="N128" sqref="N128"/>
    </sheetView>
  </sheetViews>
  <sheetFormatPr defaultColWidth="8.77734375" defaultRowHeight="14.4" x14ac:dyDescent="0.3"/>
  <cols>
    <col min="1" max="1" width="12.109375" style="6" bestFit="1" customWidth="1"/>
    <col min="2" max="2" width="16.109375" style="1" bestFit="1" customWidth="1"/>
    <col min="3" max="3" width="24.109375" style="6" customWidth="1"/>
    <col min="4" max="4" width="58.6640625" style="6" customWidth="1"/>
    <col min="5" max="5" width="19.44140625" style="1" customWidth="1"/>
    <col min="6" max="6" width="17.77734375" style="1" customWidth="1"/>
    <col min="7" max="7" width="20.44140625" style="1" bestFit="1" customWidth="1"/>
    <col min="8" max="8" width="15.44140625" style="1" customWidth="1"/>
    <col min="9" max="9" width="17.88671875" style="1" bestFit="1" customWidth="1"/>
    <col min="10" max="10" width="11.6640625" style="1" customWidth="1"/>
    <col min="11" max="16384" width="8.77734375" style="1"/>
  </cols>
  <sheetData>
    <row r="1" spans="1:10" ht="57" customHeight="1" thickBot="1" x14ac:dyDescent="0.35">
      <c r="A1" s="257" t="s">
        <v>223</v>
      </c>
      <c r="B1" s="258" t="s">
        <v>9</v>
      </c>
      <c r="C1" s="259" t="s">
        <v>224</v>
      </c>
      <c r="D1" s="259" t="s">
        <v>11</v>
      </c>
      <c r="E1" s="258" t="s">
        <v>225</v>
      </c>
      <c r="F1" s="258" t="s">
        <v>226</v>
      </c>
      <c r="G1" s="258" t="s">
        <v>227</v>
      </c>
      <c r="H1" s="258" t="s">
        <v>228</v>
      </c>
      <c r="I1" s="258" t="s">
        <v>229</v>
      </c>
      <c r="J1" s="260" t="s">
        <v>230</v>
      </c>
    </row>
    <row r="2" spans="1:10" ht="15" hidden="1" thickBot="1" x14ac:dyDescent="0.35">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 hidden="1" thickBot="1" x14ac:dyDescent="0.35">
      <c r="A3" s="237" t="s">
        <v>231</v>
      </c>
      <c r="B3" s="184" t="s">
        <v>232</v>
      </c>
      <c r="C3" s="123" t="s">
        <v>235</v>
      </c>
      <c r="D3" s="123" t="s">
        <v>236</v>
      </c>
      <c r="E3" s="240">
        <v>46054</v>
      </c>
      <c r="F3" s="183">
        <v>46057.0625</v>
      </c>
      <c r="G3" s="183">
        <f t="shared" si="0"/>
        <v>46057.5625</v>
      </c>
      <c r="H3" s="184">
        <v>12</v>
      </c>
      <c r="I3" s="183">
        <f t="shared" si="1"/>
        <v>46058.395833333336</v>
      </c>
      <c r="J3" s="127">
        <v>20</v>
      </c>
    </row>
    <row r="4" spans="1:10" ht="15" hidden="1" thickBot="1" x14ac:dyDescent="0.35">
      <c r="A4" s="249" t="s">
        <v>231</v>
      </c>
      <c r="B4" s="170" t="s">
        <v>232</v>
      </c>
      <c r="C4" s="187" t="s">
        <v>237</v>
      </c>
      <c r="D4" s="187" t="s">
        <v>238</v>
      </c>
      <c r="E4" s="242">
        <v>46065</v>
      </c>
      <c r="F4" s="181">
        <v>46068.75</v>
      </c>
      <c r="G4" s="181">
        <f t="shared" si="0"/>
        <v>46069.75</v>
      </c>
      <c r="H4" s="170">
        <v>24</v>
      </c>
      <c r="I4" s="181">
        <f t="shared" si="1"/>
        <v>46070.5</v>
      </c>
      <c r="J4" s="191">
        <v>18</v>
      </c>
    </row>
    <row r="5" spans="1:10" ht="15" hidden="1" thickBot="1" x14ac:dyDescent="0.35">
      <c r="A5" s="236" t="s">
        <v>231</v>
      </c>
      <c r="B5" s="32" t="s">
        <v>232</v>
      </c>
      <c r="C5" s="7" t="s">
        <v>237</v>
      </c>
      <c r="D5" s="7" t="s">
        <v>239</v>
      </c>
      <c r="E5" s="54">
        <v>46070</v>
      </c>
      <c r="F5" s="180">
        <v>46071</v>
      </c>
      <c r="G5" s="180">
        <f t="shared" si="0"/>
        <v>46072.5</v>
      </c>
      <c r="H5" s="32">
        <v>36</v>
      </c>
      <c r="I5" s="180">
        <f t="shared" si="1"/>
        <v>46073.25</v>
      </c>
      <c r="J5" s="126">
        <v>18</v>
      </c>
    </row>
    <row r="6" spans="1:10" ht="15" hidden="1" thickBot="1" x14ac:dyDescent="0.35">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t="15" hidden="1" thickBot="1" x14ac:dyDescent="0.35">
      <c r="A7" s="236" t="s">
        <v>231</v>
      </c>
      <c r="B7" s="32" t="s">
        <v>232</v>
      </c>
      <c r="C7" s="7" t="s">
        <v>237</v>
      </c>
      <c r="D7" s="7" t="s">
        <v>241</v>
      </c>
      <c r="E7" s="54">
        <v>46076</v>
      </c>
      <c r="F7" s="180">
        <v>46079.46875</v>
      </c>
      <c r="G7" s="180">
        <f t="shared" si="0"/>
        <v>46080.96875</v>
      </c>
      <c r="H7" s="32">
        <v>36</v>
      </c>
      <c r="I7" s="180">
        <f t="shared" si="1"/>
        <v>46081.71875</v>
      </c>
      <c r="J7" s="126">
        <v>18</v>
      </c>
    </row>
    <row r="8" spans="1:10" ht="15" hidden="1" thickBot="1" x14ac:dyDescent="0.35">
      <c r="A8" s="250" t="s">
        <v>231</v>
      </c>
      <c r="B8" s="214" t="s">
        <v>232</v>
      </c>
      <c r="C8" s="212" t="s">
        <v>237</v>
      </c>
      <c r="D8" s="212" t="s">
        <v>242</v>
      </c>
      <c r="E8" s="241">
        <v>46079</v>
      </c>
      <c r="F8" s="213">
        <v>46082.375</v>
      </c>
      <c r="G8" s="213">
        <f t="shared" si="0"/>
        <v>46083.875</v>
      </c>
      <c r="H8" s="214">
        <v>36</v>
      </c>
      <c r="I8" s="213">
        <f t="shared" si="1"/>
        <v>46084.625</v>
      </c>
      <c r="J8" s="215">
        <v>18</v>
      </c>
    </row>
    <row r="9" spans="1:10" ht="15" hidden="1" thickBot="1" x14ac:dyDescent="0.35">
      <c r="A9" s="235" t="s">
        <v>231</v>
      </c>
      <c r="B9" s="189" t="s">
        <v>232</v>
      </c>
      <c r="C9" s="122" t="s">
        <v>243</v>
      </c>
      <c r="D9" s="122" t="s">
        <v>244</v>
      </c>
      <c r="E9" s="239">
        <v>46084</v>
      </c>
      <c r="F9" s="188">
        <v>46086.75</v>
      </c>
      <c r="G9" s="188">
        <f t="shared" si="0"/>
        <v>46088.25</v>
      </c>
      <c r="H9" s="189">
        <v>36</v>
      </c>
      <c r="I9" s="188">
        <f t="shared" si="1"/>
        <v>46089.083333333336</v>
      </c>
      <c r="J9" s="190">
        <v>20</v>
      </c>
    </row>
    <row r="10" spans="1:10" ht="15" hidden="1" thickBot="1" x14ac:dyDescent="0.35">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 hidden="1" thickBot="1" x14ac:dyDescent="0.35">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t="15" hidden="1" thickBot="1" x14ac:dyDescent="0.35">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t="15" hidden="1" thickBot="1" x14ac:dyDescent="0.35">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t="15" hidden="1" thickBot="1" x14ac:dyDescent="0.35">
      <c r="A14" s="236" t="s">
        <v>231</v>
      </c>
      <c r="B14" s="32" t="s">
        <v>232</v>
      </c>
      <c r="C14" s="7" t="s">
        <v>247</v>
      </c>
      <c r="D14" s="7" t="s">
        <v>250</v>
      </c>
      <c r="E14" s="54">
        <v>46108</v>
      </c>
      <c r="F14" s="180">
        <v>46110.5</v>
      </c>
      <c r="G14" s="180">
        <f t="shared" si="0"/>
        <v>46111.5</v>
      </c>
      <c r="H14" s="32">
        <v>24</v>
      </c>
      <c r="I14" s="180">
        <f t="shared" si="1"/>
        <v>46112.25</v>
      </c>
      <c r="J14" s="126">
        <v>18</v>
      </c>
    </row>
    <row r="15" spans="1:10" ht="15" hidden="1" thickBot="1" x14ac:dyDescent="0.35">
      <c r="A15" s="236" t="s">
        <v>231</v>
      </c>
      <c r="B15" s="32" t="s">
        <v>232</v>
      </c>
      <c r="C15" s="7" t="s">
        <v>247</v>
      </c>
      <c r="D15" s="7" t="s">
        <v>251</v>
      </c>
      <c r="E15" s="54">
        <v>46125</v>
      </c>
      <c r="F15" s="180">
        <v>46127.125</v>
      </c>
      <c r="G15" s="180">
        <f t="shared" si="0"/>
        <v>46128.625</v>
      </c>
      <c r="H15" s="32">
        <v>36</v>
      </c>
      <c r="I15" s="180">
        <f t="shared" si="1"/>
        <v>46129.375</v>
      </c>
      <c r="J15" s="126">
        <v>18</v>
      </c>
    </row>
    <row r="16" spans="1:10" ht="15" hidden="1" thickBot="1" x14ac:dyDescent="0.35">
      <c r="A16" s="236" t="s">
        <v>231</v>
      </c>
      <c r="B16" s="32" t="s">
        <v>232</v>
      </c>
      <c r="C16" s="7" t="s">
        <v>247</v>
      </c>
      <c r="D16" s="7" t="s">
        <v>252</v>
      </c>
      <c r="E16" s="54">
        <v>46138</v>
      </c>
      <c r="F16" s="180">
        <v>46140.75</v>
      </c>
      <c r="G16" s="180">
        <f t="shared" si="0"/>
        <v>46142.25</v>
      </c>
      <c r="H16" s="32">
        <v>36</v>
      </c>
      <c r="I16" s="180">
        <f t="shared" si="1"/>
        <v>46143</v>
      </c>
      <c r="J16" s="126">
        <v>18</v>
      </c>
    </row>
    <row r="17" spans="1:10" ht="15" hidden="1" thickBot="1" x14ac:dyDescent="0.35">
      <c r="A17" s="236" t="s">
        <v>231</v>
      </c>
      <c r="B17" s="32" t="s">
        <v>232</v>
      </c>
      <c r="C17" s="7" t="s">
        <v>247</v>
      </c>
      <c r="D17" s="7" t="s">
        <v>253</v>
      </c>
      <c r="E17" s="54">
        <v>46141</v>
      </c>
      <c r="F17" s="180">
        <v>46143.25</v>
      </c>
      <c r="G17" s="180">
        <f t="shared" si="0"/>
        <v>46144.75</v>
      </c>
      <c r="H17" s="32">
        <v>36</v>
      </c>
      <c r="I17" s="180">
        <f t="shared" si="1"/>
        <v>46145.5</v>
      </c>
      <c r="J17" s="126">
        <v>18</v>
      </c>
    </row>
    <row r="18" spans="1:10" ht="15" hidden="1" thickBot="1" x14ac:dyDescent="0.35">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t="15" hidden="1" thickBot="1" x14ac:dyDescent="0.35">
      <c r="A19" s="262" t="s">
        <v>231</v>
      </c>
      <c r="B19" s="189" t="s">
        <v>232</v>
      </c>
      <c r="C19" s="122" t="s">
        <v>95</v>
      </c>
      <c r="D19" s="122" t="s">
        <v>255</v>
      </c>
      <c r="E19" s="239">
        <v>46153</v>
      </c>
      <c r="F19" s="188">
        <v>46155.75</v>
      </c>
      <c r="G19" s="188">
        <f t="shared" si="0"/>
        <v>46157.25</v>
      </c>
      <c r="H19" s="189">
        <v>36</v>
      </c>
      <c r="I19" s="188">
        <f t="shared" si="1"/>
        <v>46158</v>
      </c>
      <c r="J19" s="190">
        <v>18</v>
      </c>
    </row>
    <row r="20" spans="1:10" ht="15" hidden="1" thickBot="1" x14ac:dyDescent="0.35">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 hidden="1" thickBot="1" x14ac:dyDescent="0.35">
      <c r="A21" s="236" t="s">
        <v>231</v>
      </c>
      <c r="B21" s="208" t="s">
        <v>160</v>
      </c>
      <c r="C21" s="7" t="s">
        <v>256</v>
      </c>
      <c r="D21" s="185" t="s">
        <v>258</v>
      </c>
      <c r="E21" s="54">
        <v>46053</v>
      </c>
      <c r="F21" s="180">
        <v>46057.25</v>
      </c>
      <c r="G21" s="183">
        <f t="shared" si="0"/>
        <v>46058.75</v>
      </c>
      <c r="H21" s="32">
        <v>36</v>
      </c>
      <c r="I21" s="326">
        <f t="shared" si="1"/>
        <v>46060.75</v>
      </c>
      <c r="J21" s="324">
        <v>48</v>
      </c>
    </row>
    <row r="22" spans="1:10" ht="15" hidden="1" thickBot="1" x14ac:dyDescent="0.35">
      <c r="A22" s="236" t="s">
        <v>231</v>
      </c>
      <c r="B22" s="208" t="s">
        <v>160</v>
      </c>
      <c r="C22" s="7" t="s">
        <v>256</v>
      </c>
      <c r="D22" s="7" t="s">
        <v>259</v>
      </c>
      <c r="E22" s="54">
        <v>46057</v>
      </c>
      <c r="F22" s="180">
        <v>46061.0625</v>
      </c>
      <c r="G22" s="180">
        <f t="shared" si="0"/>
        <v>46062.0625</v>
      </c>
      <c r="H22" s="32">
        <v>24</v>
      </c>
      <c r="I22" s="326">
        <f t="shared" si="1"/>
        <v>46064.0625</v>
      </c>
      <c r="J22" s="324">
        <v>48</v>
      </c>
    </row>
    <row r="23" spans="1:10" ht="15" hidden="1" thickBot="1" x14ac:dyDescent="0.35">
      <c r="A23" s="236" t="s">
        <v>231</v>
      </c>
      <c r="B23" s="208" t="s">
        <v>160</v>
      </c>
      <c r="C23" s="7" t="s">
        <v>256</v>
      </c>
      <c r="D23" s="185" t="s">
        <v>260</v>
      </c>
      <c r="E23" s="54">
        <v>46072</v>
      </c>
      <c r="F23" s="180">
        <v>46075.25</v>
      </c>
      <c r="G23" s="180">
        <f t="shared" si="0"/>
        <v>46076.25</v>
      </c>
      <c r="H23" s="32">
        <v>24</v>
      </c>
      <c r="I23" s="326">
        <f t="shared" si="1"/>
        <v>46078.25</v>
      </c>
      <c r="J23" s="324">
        <v>48</v>
      </c>
    </row>
    <row r="24" spans="1:10" ht="15" hidden="1" thickBot="1" x14ac:dyDescent="0.35">
      <c r="A24" s="236" t="s">
        <v>231</v>
      </c>
      <c r="B24" s="208" t="s">
        <v>160</v>
      </c>
      <c r="C24" s="7" t="s">
        <v>256</v>
      </c>
      <c r="D24" s="7" t="s">
        <v>261</v>
      </c>
      <c r="E24" s="54">
        <v>46077</v>
      </c>
      <c r="F24" s="180">
        <v>46079.5</v>
      </c>
      <c r="G24" s="180">
        <f t="shared" si="0"/>
        <v>46081.5</v>
      </c>
      <c r="H24" s="32">
        <v>48</v>
      </c>
      <c r="I24" s="326">
        <f t="shared" si="1"/>
        <v>46083.5</v>
      </c>
      <c r="J24" s="324">
        <v>48</v>
      </c>
    </row>
    <row r="25" spans="1:10" ht="15" hidden="1" thickBot="1" x14ac:dyDescent="0.35">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95" hidden="1" customHeight="1" thickBot="1" x14ac:dyDescent="0.35">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t="15" hidden="1" thickBot="1" x14ac:dyDescent="0.35">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t="15" hidden="1" thickBot="1" x14ac:dyDescent="0.35">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t="15" hidden="1" thickBot="1" x14ac:dyDescent="0.35">
      <c r="A29" s="236" t="s">
        <v>231</v>
      </c>
      <c r="B29" s="32" t="s">
        <v>160</v>
      </c>
      <c r="C29" s="7" t="s">
        <v>264</v>
      </c>
      <c r="D29" s="7" t="s">
        <v>267</v>
      </c>
      <c r="E29" s="54">
        <v>46120</v>
      </c>
      <c r="F29" s="180">
        <v>46121.958333333336</v>
      </c>
      <c r="G29" s="180">
        <f t="shared" si="0"/>
        <v>46122.125</v>
      </c>
      <c r="H29" s="32">
        <v>4</v>
      </c>
      <c r="I29" s="180">
        <f t="shared" si="1"/>
        <v>46124.125</v>
      </c>
      <c r="J29" s="126">
        <v>48</v>
      </c>
    </row>
    <row r="30" spans="1:10" ht="15" hidden="1" thickBot="1" x14ac:dyDescent="0.35">
      <c r="A30" s="236" t="s">
        <v>231</v>
      </c>
      <c r="B30" s="32" t="s">
        <v>160</v>
      </c>
      <c r="C30" s="7" t="s">
        <v>264</v>
      </c>
      <c r="D30" s="7" t="s">
        <v>268</v>
      </c>
      <c r="E30" s="54">
        <v>46125</v>
      </c>
      <c r="F30" s="180">
        <v>46127.5</v>
      </c>
      <c r="G30" s="180">
        <f t="shared" si="0"/>
        <v>46128.5</v>
      </c>
      <c r="H30" s="32">
        <v>24</v>
      </c>
      <c r="I30" s="180">
        <f t="shared" si="1"/>
        <v>46130.5</v>
      </c>
      <c r="J30" s="126">
        <v>48</v>
      </c>
    </row>
    <row r="31" spans="1:10" ht="15" hidden="1" thickBot="1" x14ac:dyDescent="0.35">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5" hidden="1" customHeight="1" x14ac:dyDescent="0.3">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t="15" hidden="1" thickBot="1" x14ac:dyDescent="0.35">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 hidden="1" thickBot="1" x14ac:dyDescent="0.35">
      <c r="A34" s="237" t="s">
        <v>231</v>
      </c>
      <c r="B34" s="184" t="s">
        <v>160</v>
      </c>
      <c r="C34" s="123" t="s">
        <v>264</v>
      </c>
      <c r="D34" s="123" t="s">
        <v>272</v>
      </c>
      <c r="E34" s="240">
        <v>46142</v>
      </c>
      <c r="F34" s="183">
        <v>46145.260416666664</v>
      </c>
      <c r="G34" s="183">
        <f t="shared" ref="G34:G69" si="2">F34+(H34/24)</f>
        <v>46147.260416666664</v>
      </c>
      <c r="H34" s="184">
        <v>48</v>
      </c>
      <c r="I34" s="183">
        <f t="shared" ref="I34:I69" si="3">G34+(J34/24)</f>
        <v>46149.260416666664</v>
      </c>
      <c r="J34" s="127">
        <v>48</v>
      </c>
    </row>
    <row r="35" spans="1:10" s="182" customFormat="1" ht="15" hidden="1" thickBot="1" x14ac:dyDescent="0.35">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t="15" hidden="1" thickBot="1" x14ac:dyDescent="0.35">
      <c r="A36" s="246" t="s">
        <v>231</v>
      </c>
      <c r="B36" s="32" t="s">
        <v>160</v>
      </c>
      <c r="C36" s="187" t="s">
        <v>273</v>
      </c>
      <c r="D36" s="7" t="s">
        <v>275</v>
      </c>
      <c r="E36" s="54">
        <v>46156</v>
      </c>
      <c r="F36" s="180">
        <v>46158.25</v>
      </c>
      <c r="G36" s="180">
        <f t="shared" si="2"/>
        <v>46160.25</v>
      </c>
      <c r="H36" s="32">
        <v>48</v>
      </c>
      <c r="I36" s="180">
        <f t="shared" si="3"/>
        <v>46162.25</v>
      </c>
      <c r="J36" s="126">
        <v>48</v>
      </c>
    </row>
    <row r="37" spans="1:10" ht="15" hidden="1" thickBot="1" x14ac:dyDescent="0.35">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t="15" hidden="1" thickBot="1" x14ac:dyDescent="0.35">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x14ac:dyDescent="0.3">
      <c r="A39" s="423" t="s">
        <v>278</v>
      </c>
      <c r="B39" s="424" t="s">
        <v>160</v>
      </c>
      <c r="C39" s="407" t="s">
        <v>273</v>
      </c>
      <c r="D39" s="407" t="s">
        <v>279</v>
      </c>
      <c r="E39" s="425">
        <v>46200</v>
      </c>
      <c r="F39" s="426">
        <v>46202.46875</v>
      </c>
      <c r="G39" s="426">
        <f>F39+(H39/24)</f>
        <v>46204.46875</v>
      </c>
      <c r="H39" s="424">
        <v>48</v>
      </c>
      <c r="I39" s="426">
        <f>G39+(J39/24)</f>
        <v>46206.46875</v>
      </c>
      <c r="J39" s="427">
        <v>48</v>
      </c>
    </row>
    <row r="40" spans="1:10" s="182" customFormat="1" x14ac:dyDescent="0.3">
      <c r="A40" s="246" t="s">
        <v>231</v>
      </c>
      <c r="B40" s="243" t="s">
        <v>160</v>
      </c>
      <c r="C40" s="244" t="s">
        <v>273</v>
      </c>
      <c r="D40" s="244" t="s">
        <v>280</v>
      </c>
      <c r="E40" s="421">
        <v>46182</v>
      </c>
      <c r="F40" s="245">
        <v>46185</v>
      </c>
      <c r="G40" s="245">
        <f>F40+(H40/24)</f>
        <v>46185.25</v>
      </c>
      <c r="H40" s="243">
        <v>6</v>
      </c>
      <c r="I40" s="245">
        <f>G40+(J40/24)</f>
        <v>46187.25</v>
      </c>
      <c r="J40" s="428">
        <v>48</v>
      </c>
    </row>
    <row r="41" spans="1:10" s="182" customFormat="1" x14ac:dyDescent="0.3">
      <c r="A41" s="246" t="s">
        <v>231</v>
      </c>
      <c r="B41" s="32" t="s">
        <v>160</v>
      </c>
      <c r="C41" s="7" t="s">
        <v>273</v>
      </c>
      <c r="D41" s="244" t="s">
        <v>276</v>
      </c>
      <c r="E41" s="54">
        <v>46164</v>
      </c>
      <c r="F41" s="180">
        <v>46166</v>
      </c>
      <c r="G41" s="180">
        <f>F41+(H41/24)</f>
        <v>46169</v>
      </c>
      <c r="H41" s="32">
        <v>72</v>
      </c>
      <c r="I41" s="180">
        <f>G41+(J41/24)</f>
        <v>46171</v>
      </c>
      <c r="J41" s="126">
        <v>48</v>
      </c>
    </row>
    <row r="42" spans="1:10" s="182" customFormat="1" x14ac:dyDescent="0.3">
      <c r="A42" s="246" t="s">
        <v>278</v>
      </c>
      <c r="B42" s="32" t="s">
        <v>160</v>
      </c>
      <c r="C42" s="7" t="s">
        <v>273</v>
      </c>
      <c r="D42" s="437" t="s">
        <v>281</v>
      </c>
      <c r="E42" s="241">
        <v>46195</v>
      </c>
      <c r="F42" s="213">
        <v>46198.96875</v>
      </c>
      <c r="G42" s="180">
        <f>F42+(H42/24)</f>
        <v>46200.96875</v>
      </c>
      <c r="H42" s="214">
        <v>48</v>
      </c>
      <c r="I42" s="180">
        <f>G42+(J42/24)</f>
        <v>46202.96875</v>
      </c>
      <c r="J42" s="215">
        <v>48</v>
      </c>
    </row>
    <row r="43" spans="1:10" s="182" customFormat="1" ht="29.4" thickBot="1" x14ac:dyDescent="0.35">
      <c r="A43" s="246" t="s">
        <v>278</v>
      </c>
      <c r="B43" s="184" t="s">
        <v>160</v>
      </c>
      <c r="C43" s="123" t="s">
        <v>273</v>
      </c>
      <c r="D43" s="435" t="s">
        <v>282</v>
      </c>
      <c r="E43" s="240">
        <v>46187</v>
      </c>
      <c r="F43" s="183">
        <v>46190.25</v>
      </c>
      <c r="G43" s="183">
        <f>F43+(H43/24)</f>
        <v>46191.25</v>
      </c>
      <c r="H43" s="184">
        <v>24</v>
      </c>
      <c r="I43" s="183">
        <f>G43+(J43/24)</f>
        <v>46193.25</v>
      </c>
      <c r="J43" s="127">
        <v>48</v>
      </c>
    </row>
    <row r="44" spans="1:10" x14ac:dyDescent="0.3">
      <c r="A44" s="254" t="s">
        <v>278</v>
      </c>
      <c r="B44" s="170" t="s">
        <v>160</v>
      </c>
      <c r="C44" s="187" t="s">
        <v>283</v>
      </c>
      <c r="D44" s="187" t="s">
        <v>284</v>
      </c>
      <c r="E44" s="242">
        <v>46210</v>
      </c>
      <c r="F44" s="181">
        <v>46213.65625</v>
      </c>
      <c r="G44" s="181">
        <f t="shared" si="2"/>
        <v>46216.65625</v>
      </c>
      <c r="H44" s="170">
        <v>72</v>
      </c>
      <c r="I44" s="181">
        <f t="shared" si="3"/>
        <v>46218.65625</v>
      </c>
      <c r="J44" s="191">
        <v>48</v>
      </c>
    </row>
    <row r="45" spans="1:10" x14ac:dyDescent="0.3">
      <c r="A45" s="246" t="s">
        <v>278</v>
      </c>
      <c r="B45" s="32" t="s">
        <v>160</v>
      </c>
      <c r="C45" s="7" t="s">
        <v>283</v>
      </c>
      <c r="D45" s="7" t="s">
        <v>285</v>
      </c>
      <c r="E45" s="54">
        <v>46213</v>
      </c>
      <c r="F45" s="180">
        <v>46216.291666666664</v>
      </c>
      <c r="G45" s="180">
        <f t="shared" si="2"/>
        <v>46218.291666666664</v>
      </c>
      <c r="H45" s="32">
        <v>48</v>
      </c>
      <c r="I45" s="180">
        <f t="shared" si="3"/>
        <v>46220.291666666664</v>
      </c>
      <c r="J45" s="126">
        <v>48</v>
      </c>
    </row>
    <row r="46" spans="1:10" x14ac:dyDescent="0.3">
      <c r="A46" s="246" t="s">
        <v>278</v>
      </c>
      <c r="B46" s="32" t="s">
        <v>160</v>
      </c>
      <c r="C46" s="7" t="s">
        <v>283</v>
      </c>
      <c r="D46" s="7" t="s">
        <v>286</v>
      </c>
      <c r="E46" s="54">
        <v>46219</v>
      </c>
      <c r="F46" s="180">
        <v>46222.916666666664</v>
      </c>
      <c r="G46" s="180">
        <f t="shared" si="2"/>
        <v>46225.916666666664</v>
      </c>
      <c r="H46" s="32">
        <v>72</v>
      </c>
      <c r="I46" s="180">
        <f t="shared" si="3"/>
        <v>46227.916666666664</v>
      </c>
      <c r="J46" s="126">
        <v>48</v>
      </c>
    </row>
    <row r="47" spans="1:10" x14ac:dyDescent="0.3">
      <c r="A47" s="246" t="s">
        <v>278</v>
      </c>
      <c r="B47" s="32" t="s">
        <v>160</v>
      </c>
      <c r="C47" s="7" t="s">
        <v>283</v>
      </c>
      <c r="D47" s="244" t="s">
        <v>287</v>
      </c>
      <c r="E47" s="54">
        <v>46224</v>
      </c>
      <c r="F47" s="180">
        <v>46227.572916666664</v>
      </c>
      <c r="G47" s="180">
        <f t="shared" si="2"/>
        <v>46228.572916666664</v>
      </c>
      <c r="H47" s="32">
        <v>24</v>
      </c>
      <c r="I47" s="180">
        <f t="shared" si="3"/>
        <v>46230.572916666664</v>
      </c>
      <c r="J47" s="126">
        <v>48</v>
      </c>
    </row>
    <row r="48" spans="1:10" x14ac:dyDescent="0.3">
      <c r="A48" s="246" t="s">
        <v>278</v>
      </c>
      <c r="B48" s="32" t="s">
        <v>160</v>
      </c>
      <c r="C48" s="7" t="s">
        <v>283</v>
      </c>
      <c r="D48" s="7" t="s">
        <v>288</v>
      </c>
      <c r="E48" s="54">
        <v>46229</v>
      </c>
      <c r="F48" s="180">
        <v>46232.270833333336</v>
      </c>
      <c r="G48" s="180">
        <f t="shared" si="2"/>
        <v>46237.270833333336</v>
      </c>
      <c r="H48" s="32">
        <v>120</v>
      </c>
      <c r="I48" s="180">
        <f t="shared" si="3"/>
        <v>46239.270833333336</v>
      </c>
      <c r="J48" s="126">
        <v>48</v>
      </c>
    </row>
    <row r="49" spans="1:10" x14ac:dyDescent="0.3">
      <c r="A49" s="246" t="s">
        <v>278</v>
      </c>
      <c r="B49" s="32" t="s">
        <v>160</v>
      </c>
      <c r="C49" s="7" t="s">
        <v>283</v>
      </c>
      <c r="D49" s="7" t="s">
        <v>289</v>
      </c>
      <c r="E49" s="54">
        <v>46232</v>
      </c>
      <c r="F49" s="180">
        <v>46235.270833333336</v>
      </c>
      <c r="G49" s="180">
        <f t="shared" si="2"/>
        <v>46237.270833333336</v>
      </c>
      <c r="H49" s="32">
        <v>48</v>
      </c>
      <c r="I49" s="180">
        <f t="shared" si="3"/>
        <v>46239.270833333336</v>
      </c>
      <c r="J49" s="126">
        <v>48</v>
      </c>
    </row>
    <row r="50" spans="1:10" ht="15" thickBot="1" x14ac:dyDescent="0.35">
      <c r="A50" s="247" t="s">
        <v>278</v>
      </c>
      <c r="B50" s="184" t="s">
        <v>160</v>
      </c>
      <c r="C50" s="123" t="s">
        <v>283</v>
      </c>
      <c r="D50" s="401" t="s">
        <v>290</v>
      </c>
      <c r="E50" s="240">
        <v>46236</v>
      </c>
      <c r="F50" s="183">
        <v>46239.270833333336</v>
      </c>
      <c r="G50" s="183">
        <f t="shared" si="2"/>
        <v>46241.270833333336</v>
      </c>
      <c r="H50" s="184">
        <v>48</v>
      </c>
      <c r="I50" s="183">
        <f t="shared" si="3"/>
        <v>46243.270833333336</v>
      </c>
      <c r="J50" s="127">
        <v>48</v>
      </c>
    </row>
    <row r="51" spans="1:10" hidden="1" x14ac:dyDescent="0.3">
      <c r="A51" s="249" t="s">
        <v>231</v>
      </c>
      <c r="B51" s="209" t="s">
        <v>161</v>
      </c>
      <c r="C51" s="187" t="s">
        <v>291</v>
      </c>
      <c r="D51" s="187" t="s">
        <v>292</v>
      </c>
      <c r="E51" s="242">
        <v>46046</v>
      </c>
      <c r="F51" s="181">
        <v>46048.552083333336</v>
      </c>
      <c r="G51" s="181">
        <f t="shared" si="2"/>
        <v>46049.552083333336</v>
      </c>
      <c r="H51" s="170">
        <v>24</v>
      </c>
      <c r="I51" s="181">
        <f t="shared" si="3"/>
        <v>46050.21875</v>
      </c>
      <c r="J51" s="191">
        <v>16</v>
      </c>
    </row>
    <row r="52" spans="1:10" hidden="1" x14ac:dyDescent="0.3">
      <c r="A52" s="249" t="s">
        <v>231</v>
      </c>
      <c r="B52" s="208" t="s">
        <v>161</v>
      </c>
      <c r="C52" s="7" t="s">
        <v>291</v>
      </c>
      <c r="D52" s="7" t="s">
        <v>293</v>
      </c>
      <c r="E52" s="54">
        <v>46052</v>
      </c>
      <c r="F52" s="180">
        <v>46053.020833333336</v>
      </c>
      <c r="G52" s="180">
        <f t="shared" si="2"/>
        <v>46054.020833333336</v>
      </c>
      <c r="H52" s="32">
        <v>24</v>
      </c>
      <c r="I52" s="180">
        <f t="shared" si="3"/>
        <v>46054.6875</v>
      </c>
      <c r="J52" s="126">
        <v>16</v>
      </c>
    </row>
    <row r="53" spans="1:10" hidden="1" x14ac:dyDescent="0.3">
      <c r="A53" s="249" t="s">
        <v>231</v>
      </c>
      <c r="B53" s="208" t="s">
        <v>161</v>
      </c>
      <c r="C53" s="7" t="s">
        <v>291</v>
      </c>
      <c r="D53" s="7" t="s">
        <v>294</v>
      </c>
      <c r="E53" s="54">
        <v>46053</v>
      </c>
      <c r="F53" s="180">
        <v>46055.177083333336</v>
      </c>
      <c r="G53" s="180">
        <f t="shared" si="2"/>
        <v>46056.177083333336</v>
      </c>
      <c r="H53" s="32">
        <v>24</v>
      </c>
      <c r="I53" s="180">
        <f t="shared" si="3"/>
        <v>46056.84375</v>
      </c>
      <c r="J53" s="126">
        <v>16</v>
      </c>
    </row>
    <row r="54" spans="1:10" hidden="1" x14ac:dyDescent="0.3">
      <c r="A54" s="249" t="s">
        <v>231</v>
      </c>
      <c r="B54" s="208" t="s">
        <v>161</v>
      </c>
      <c r="C54" s="7" t="s">
        <v>291</v>
      </c>
      <c r="D54" s="7" t="s">
        <v>295</v>
      </c>
      <c r="E54" s="54">
        <v>46057</v>
      </c>
      <c r="F54" s="180">
        <v>46059.708333333336</v>
      </c>
      <c r="G54" s="180">
        <f t="shared" si="2"/>
        <v>46060.708333333336</v>
      </c>
      <c r="H54" s="32">
        <v>24</v>
      </c>
      <c r="I54" s="180">
        <f t="shared" si="3"/>
        <v>46061.375</v>
      </c>
      <c r="J54" s="126">
        <v>16</v>
      </c>
    </row>
    <row r="55" spans="1:10" hidden="1" x14ac:dyDescent="0.3">
      <c r="A55" s="249" t="s">
        <v>231</v>
      </c>
      <c r="B55" s="208" t="s">
        <v>161</v>
      </c>
      <c r="C55" s="7" t="s">
        <v>291</v>
      </c>
      <c r="D55" s="7" t="s">
        <v>296</v>
      </c>
      <c r="E55" s="54">
        <v>46062</v>
      </c>
      <c r="F55" s="180">
        <v>46065</v>
      </c>
      <c r="G55" s="180">
        <f t="shared" si="2"/>
        <v>46066</v>
      </c>
      <c r="H55" s="32">
        <v>24</v>
      </c>
      <c r="I55" s="180">
        <f t="shared" si="3"/>
        <v>46066.666666666664</v>
      </c>
      <c r="J55" s="126">
        <v>16</v>
      </c>
    </row>
    <row r="56" spans="1:10" hidden="1" x14ac:dyDescent="0.3">
      <c r="A56" s="249" t="s">
        <v>231</v>
      </c>
      <c r="B56" s="208" t="s">
        <v>161</v>
      </c>
      <c r="C56" s="7" t="s">
        <v>291</v>
      </c>
      <c r="D56" s="7" t="s">
        <v>297</v>
      </c>
      <c r="E56" s="8">
        <v>46068</v>
      </c>
      <c r="F56" s="238">
        <v>46069.583333333336</v>
      </c>
      <c r="G56" s="180">
        <f t="shared" si="2"/>
        <v>46070.583333333336</v>
      </c>
      <c r="H56" s="182">
        <v>24</v>
      </c>
      <c r="I56" s="180">
        <f t="shared" si="3"/>
        <v>46071.25</v>
      </c>
      <c r="J56" s="126">
        <v>16</v>
      </c>
    </row>
    <row r="57" spans="1:10" hidden="1" x14ac:dyDescent="0.3">
      <c r="A57" s="249" t="s">
        <v>231</v>
      </c>
      <c r="B57" s="208" t="s">
        <v>161</v>
      </c>
      <c r="C57" s="7" t="s">
        <v>291</v>
      </c>
      <c r="D57" s="7" t="s">
        <v>298</v>
      </c>
      <c r="E57" s="54">
        <v>46072</v>
      </c>
      <c r="F57" s="180">
        <v>46075.052083333336</v>
      </c>
      <c r="G57" s="180">
        <f t="shared" si="2"/>
        <v>46076.052083333336</v>
      </c>
      <c r="H57" s="32">
        <v>24</v>
      </c>
      <c r="I57" s="180">
        <f t="shared" si="3"/>
        <v>46076.71875</v>
      </c>
      <c r="J57" s="126">
        <v>16</v>
      </c>
    </row>
    <row r="58" spans="1:10" hidden="1" x14ac:dyDescent="0.3">
      <c r="A58" s="249" t="s">
        <v>231</v>
      </c>
      <c r="B58" s="208" t="s">
        <v>161</v>
      </c>
      <c r="C58" s="7" t="s">
        <v>291</v>
      </c>
      <c r="D58" s="7" t="s">
        <v>299</v>
      </c>
      <c r="E58" s="54">
        <v>46074</v>
      </c>
      <c r="F58" s="180">
        <v>46076.802083333336</v>
      </c>
      <c r="G58" s="180">
        <f t="shared" si="2"/>
        <v>46077.802083333336</v>
      </c>
      <c r="H58" s="32">
        <v>24</v>
      </c>
      <c r="I58" s="180">
        <f t="shared" si="3"/>
        <v>46078.46875</v>
      </c>
      <c r="J58" s="126">
        <v>16</v>
      </c>
    </row>
    <row r="59" spans="1:10" hidden="1" x14ac:dyDescent="0.3">
      <c r="A59" s="249" t="s">
        <v>231</v>
      </c>
      <c r="B59" s="208" t="s">
        <v>161</v>
      </c>
      <c r="C59" s="7" t="s">
        <v>291</v>
      </c>
      <c r="D59" s="7" t="s">
        <v>300</v>
      </c>
      <c r="E59" s="54">
        <v>46079</v>
      </c>
      <c r="F59" s="180">
        <v>46081.447916666664</v>
      </c>
      <c r="G59" s="180">
        <f t="shared" si="2"/>
        <v>46082.447916666664</v>
      </c>
      <c r="H59" s="32">
        <v>24</v>
      </c>
      <c r="I59" s="180">
        <f t="shared" si="3"/>
        <v>46083.114583333328</v>
      </c>
      <c r="J59" s="126">
        <v>16</v>
      </c>
    </row>
    <row r="60" spans="1:10" s="255" customFormat="1" hidden="1" x14ac:dyDescent="0.3">
      <c r="A60" s="261" t="s">
        <v>231</v>
      </c>
      <c r="B60" s="248" t="s">
        <v>161</v>
      </c>
      <c r="C60" s="212" t="s">
        <v>291</v>
      </c>
      <c r="D60" s="212" t="s">
        <v>301</v>
      </c>
      <c r="E60" s="241">
        <v>46081</v>
      </c>
      <c r="F60" s="213">
        <v>46082.53125</v>
      </c>
      <c r="G60" s="213">
        <f t="shared" si="2"/>
        <v>46083.53125</v>
      </c>
      <c r="H60" s="214">
        <v>24</v>
      </c>
      <c r="I60" s="213">
        <f t="shared" si="3"/>
        <v>46084.197916666664</v>
      </c>
      <c r="J60" s="215">
        <v>16</v>
      </c>
    </row>
    <row r="61" spans="1:10" hidden="1" x14ac:dyDescent="0.3">
      <c r="A61" s="235" t="s">
        <v>231</v>
      </c>
      <c r="B61" s="189" t="s">
        <v>161</v>
      </c>
      <c r="C61" s="122" t="s">
        <v>302</v>
      </c>
      <c r="D61" s="122" t="s">
        <v>303</v>
      </c>
      <c r="E61" s="239">
        <v>46084</v>
      </c>
      <c r="F61" s="188">
        <v>46086.71875</v>
      </c>
      <c r="G61" s="188">
        <f t="shared" si="2"/>
        <v>46087.71875</v>
      </c>
      <c r="H61" s="189">
        <v>24</v>
      </c>
      <c r="I61" s="188">
        <f t="shared" si="3"/>
        <v>46088.385416666664</v>
      </c>
      <c r="J61" s="190">
        <v>16</v>
      </c>
    </row>
    <row r="62" spans="1:10" hidden="1" x14ac:dyDescent="0.3">
      <c r="A62" s="236" t="s">
        <v>231</v>
      </c>
      <c r="B62" s="32" t="s">
        <v>161</v>
      </c>
      <c r="C62" s="7" t="s">
        <v>302</v>
      </c>
      <c r="D62" s="7" t="s">
        <v>304</v>
      </c>
      <c r="E62" s="54">
        <v>46089</v>
      </c>
      <c r="F62" s="180">
        <v>46092.6875</v>
      </c>
      <c r="G62" s="180">
        <f t="shared" si="2"/>
        <v>46093.6875</v>
      </c>
      <c r="H62" s="32">
        <v>24</v>
      </c>
      <c r="I62" s="180">
        <f t="shared" si="3"/>
        <v>46094.354166666664</v>
      </c>
      <c r="J62" s="126">
        <v>16</v>
      </c>
    </row>
    <row r="63" spans="1:10" hidden="1" x14ac:dyDescent="0.3">
      <c r="A63" s="236" t="s">
        <v>231</v>
      </c>
      <c r="B63" s="32" t="s">
        <v>161</v>
      </c>
      <c r="C63" s="7" t="s">
        <v>302</v>
      </c>
      <c r="D63" s="7" t="s">
        <v>305</v>
      </c>
      <c r="E63" s="54">
        <v>46092</v>
      </c>
      <c r="F63" s="180">
        <v>46095.833333333336</v>
      </c>
      <c r="G63" s="180">
        <f t="shared" si="2"/>
        <v>46096.833333333336</v>
      </c>
      <c r="H63" s="32">
        <v>24</v>
      </c>
      <c r="I63" s="180">
        <f t="shared" si="3"/>
        <v>46097.5</v>
      </c>
      <c r="J63" s="126">
        <v>16</v>
      </c>
    </row>
    <row r="64" spans="1:10" hidden="1" x14ac:dyDescent="0.3">
      <c r="A64" s="236" t="s">
        <v>231</v>
      </c>
      <c r="B64" s="32" t="s">
        <v>161</v>
      </c>
      <c r="C64" s="7" t="s">
        <v>302</v>
      </c>
      <c r="D64" s="251" t="s">
        <v>306</v>
      </c>
      <c r="E64" s="54">
        <v>46099</v>
      </c>
      <c r="F64" s="180">
        <v>46101.1875</v>
      </c>
      <c r="G64" s="180">
        <f t="shared" si="2"/>
        <v>46102.1875</v>
      </c>
      <c r="H64" s="32">
        <v>24</v>
      </c>
      <c r="I64" s="180">
        <f t="shared" si="3"/>
        <v>46102.854166666664</v>
      </c>
      <c r="J64" s="126">
        <v>16</v>
      </c>
    </row>
    <row r="65" spans="1:10" s="255" customFormat="1" ht="15" hidden="1" thickBot="1" x14ac:dyDescent="0.35">
      <c r="A65" s="237" t="s">
        <v>231</v>
      </c>
      <c r="B65" s="184" t="s">
        <v>161</v>
      </c>
      <c r="C65" s="123" t="s">
        <v>302</v>
      </c>
      <c r="D65" s="123" t="s">
        <v>307</v>
      </c>
      <c r="E65" s="240">
        <v>46103</v>
      </c>
      <c r="F65" s="183">
        <v>46105.6875</v>
      </c>
      <c r="G65" s="183">
        <f t="shared" si="2"/>
        <v>46106.6875</v>
      </c>
      <c r="H65" s="184">
        <v>24</v>
      </c>
      <c r="I65" s="183">
        <f t="shared" si="3"/>
        <v>46107.354166666664</v>
      </c>
      <c r="J65" s="127">
        <v>16</v>
      </c>
    </row>
    <row r="66" spans="1:10" hidden="1" x14ac:dyDescent="0.3">
      <c r="A66" s="254" t="s">
        <v>231</v>
      </c>
      <c r="B66" s="170" t="s">
        <v>161</v>
      </c>
      <c r="C66" s="187" t="s">
        <v>308</v>
      </c>
      <c r="D66" s="187" t="s">
        <v>309</v>
      </c>
      <c r="E66" s="242">
        <v>46109</v>
      </c>
      <c r="F66" s="181">
        <v>46111</v>
      </c>
      <c r="G66" s="181">
        <f t="shared" si="2"/>
        <v>46112</v>
      </c>
      <c r="H66" s="170">
        <v>24</v>
      </c>
      <c r="I66" s="181">
        <f t="shared" si="3"/>
        <v>46112.125</v>
      </c>
      <c r="J66" s="191">
        <v>3</v>
      </c>
    </row>
    <row r="67" spans="1:10" s="255" customFormat="1" ht="15" hidden="1" thickBot="1" x14ac:dyDescent="0.35">
      <c r="A67" s="247" t="s">
        <v>231</v>
      </c>
      <c r="B67" s="184" t="s">
        <v>161</v>
      </c>
      <c r="C67" s="123" t="s">
        <v>308</v>
      </c>
      <c r="D67" s="123" t="s">
        <v>310</v>
      </c>
      <c r="E67" s="240">
        <v>46112</v>
      </c>
      <c r="F67" s="183">
        <v>46113.166666666664</v>
      </c>
      <c r="G67" s="183">
        <f t="shared" si="2"/>
        <v>46114.166666666664</v>
      </c>
      <c r="H67" s="184">
        <v>24</v>
      </c>
      <c r="I67" s="183">
        <f t="shared" si="3"/>
        <v>46114.291666666664</v>
      </c>
      <c r="J67" s="127">
        <v>3</v>
      </c>
    </row>
    <row r="68" spans="1:10" ht="13.95" hidden="1" customHeight="1" x14ac:dyDescent="0.3">
      <c r="A68" s="249" t="s">
        <v>231</v>
      </c>
      <c r="B68" s="209" t="s">
        <v>311</v>
      </c>
      <c r="C68" s="187" t="s">
        <v>312</v>
      </c>
      <c r="D68" s="187" t="s">
        <v>313</v>
      </c>
      <c r="E68" s="242">
        <v>46045</v>
      </c>
      <c r="F68" s="181">
        <v>46049.25</v>
      </c>
      <c r="G68" s="181">
        <f t="shared" si="2"/>
        <v>46050.75</v>
      </c>
      <c r="H68" s="170">
        <v>36</v>
      </c>
      <c r="I68" s="181">
        <f t="shared" si="3"/>
        <v>46051.541666666664</v>
      </c>
      <c r="J68" s="191">
        <v>19</v>
      </c>
    </row>
    <row r="69" spans="1:10" hidden="1" x14ac:dyDescent="0.3">
      <c r="A69" s="236" t="s">
        <v>231</v>
      </c>
      <c r="B69" s="208" t="s">
        <v>311</v>
      </c>
      <c r="C69" s="7" t="s">
        <v>312</v>
      </c>
      <c r="D69" s="7" t="s">
        <v>314</v>
      </c>
      <c r="E69" s="54">
        <v>46060</v>
      </c>
      <c r="F69" s="180">
        <v>46062.25</v>
      </c>
      <c r="G69" s="180">
        <f t="shared" si="2"/>
        <v>46064.25</v>
      </c>
      <c r="H69" s="32">
        <v>48</v>
      </c>
      <c r="I69" s="180">
        <f t="shared" si="3"/>
        <v>46065.041666666664</v>
      </c>
      <c r="J69" s="126">
        <v>19</v>
      </c>
    </row>
    <row r="70" spans="1:10" hidden="1" x14ac:dyDescent="0.3">
      <c r="A70" s="236" t="s">
        <v>231</v>
      </c>
      <c r="B70" s="208" t="s">
        <v>311</v>
      </c>
      <c r="C70" s="7" t="s">
        <v>312</v>
      </c>
      <c r="D70" s="7" t="s">
        <v>315</v>
      </c>
      <c r="E70" s="54">
        <v>46068</v>
      </c>
      <c r="F70" s="180">
        <v>46071.283333333333</v>
      </c>
      <c r="G70" s="180">
        <f t="shared" ref="G70:G103" si="4">F70+(H70/24)</f>
        <v>46072.783333333333</v>
      </c>
      <c r="H70" s="32">
        <v>36</v>
      </c>
      <c r="I70" s="180">
        <f t="shared" ref="I70:I103" si="5">G70+(J70/24)</f>
        <v>46073.574999999997</v>
      </c>
      <c r="J70" s="126">
        <v>19</v>
      </c>
    </row>
    <row r="71" spans="1:10" hidden="1" x14ac:dyDescent="0.3">
      <c r="A71" s="236" t="s">
        <v>231</v>
      </c>
      <c r="B71" s="208" t="s">
        <v>311</v>
      </c>
      <c r="C71" s="7" t="s">
        <v>312</v>
      </c>
      <c r="D71" s="7" t="s">
        <v>316</v>
      </c>
      <c r="E71" s="54">
        <v>46052</v>
      </c>
      <c r="F71" s="180">
        <v>46055.083333333336</v>
      </c>
      <c r="G71" s="180">
        <f t="shared" si="4"/>
        <v>46055.583333333336</v>
      </c>
      <c r="H71" s="32">
        <v>12</v>
      </c>
      <c r="I71" s="180">
        <f t="shared" si="5"/>
        <v>46056.375</v>
      </c>
      <c r="J71" s="126">
        <v>19</v>
      </c>
    </row>
    <row r="72" spans="1:10" hidden="1" x14ac:dyDescent="0.3">
      <c r="A72" s="236" t="s">
        <v>231</v>
      </c>
      <c r="B72" s="208" t="s">
        <v>311</v>
      </c>
      <c r="C72" s="7" t="s">
        <v>312</v>
      </c>
      <c r="D72" s="7" t="s">
        <v>317</v>
      </c>
      <c r="E72" s="54">
        <v>46055</v>
      </c>
      <c r="F72" s="180">
        <v>46056.25</v>
      </c>
      <c r="G72" s="180">
        <f t="shared" si="4"/>
        <v>46057.25</v>
      </c>
      <c r="H72" s="32">
        <v>24</v>
      </c>
      <c r="I72" s="180">
        <f t="shared" si="5"/>
        <v>46058.041666666664</v>
      </c>
      <c r="J72" s="126">
        <v>19</v>
      </c>
    </row>
    <row r="73" spans="1:10" hidden="1" x14ac:dyDescent="0.3">
      <c r="A73" s="236" t="s">
        <v>231</v>
      </c>
      <c r="B73" s="208" t="s">
        <v>311</v>
      </c>
      <c r="C73" s="7" t="s">
        <v>312</v>
      </c>
      <c r="D73" s="7" t="s">
        <v>318</v>
      </c>
      <c r="E73" s="54">
        <v>46059</v>
      </c>
      <c r="F73" s="180">
        <v>46060.291666666664</v>
      </c>
      <c r="G73" s="180">
        <f t="shared" si="4"/>
        <v>46061.291666666664</v>
      </c>
      <c r="H73" s="32">
        <v>24</v>
      </c>
      <c r="I73" s="180">
        <f t="shared" si="5"/>
        <v>46062.083333333328</v>
      </c>
      <c r="J73" s="126">
        <v>19</v>
      </c>
    </row>
    <row r="74" spans="1:10" s="195" customFormat="1" ht="20.399999999999999" hidden="1" customHeight="1" x14ac:dyDescent="0.3">
      <c r="A74" s="236" t="s">
        <v>231</v>
      </c>
      <c r="B74" s="208" t="s">
        <v>311</v>
      </c>
      <c r="C74" s="7" t="s">
        <v>312</v>
      </c>
      <c r="D74" s="7" t="s">
        <v>319</v>
      </c>
      <c r="E74" s="54">
        <v>46072</v>
      </c>
      <c r="F74" s="180">
        <v>46074.479166666664</v>
      </c>
      <c r="G74" s="180">
        <f t="shared" si="4"/>
        <v>46075.729166666664</v>
      </c>
      <c r="H74" s="32">
        <v>30</v>
      </c>
      <c r="I74" s="180">
        <f t="shared" si="5"/>
        <v>46076.520833333328</v>
      </c>
      <c r="J74" s="126">
        <v>19</v>
      </c>
    </row>
    <row r="75" spans="1:10" s="255" customFormat="1" hidden="1" x14ac:dyDescent="0.3">
      <c r="A75" s="250" t="s">
        <v>231</v>
      </c>
      <c r="B75" s="252" t="s">
        <v>311</v>
      </c>
      <c r="C75" s="253" t="s">
        <v>312</v>
      </c>
      <c r="D75" s="212" t="s">
        <v>320</v>
      </c>
      <c r="E75" s="241">
        <v>46073</v>
      </c>
      <c r="F75" s="213">
        <v>46075.479166666664</v>
      </c>
      <c r="G75" s="213">
        <f t="shared" si="4"/>
        <v>46077.5625</v>
      </c>
      <c r="H75" s="214">
        <v>50</v>
      </c>
      <c r="I75" s="213">
        <f t="shared" si="5"/>
        <v>46078.354166666664</v>
      </c>
      <c r="J75" s="215">
        <v>19</v>
      </c>
    </row>
    <row r="76" spans="1:10" hidden="1" x14ac:dyDescent="0.3">
      <c r="A76" s="235" t="s">
        <v>231</v>
      </c>
      <c r="B76" s="189" t="s">
        <v>311</v>
      </c>
      <c r="C76" s="122" t="s">
        <v>321</v>
      </c>
      <c r="D76" s="122" t="s">
        <v>322</v>
      </c>
      <c r="E76" s="239">
        <v>46065</v>
      </c>
      <c r="F76" s="188">
        <v>46068.158333333333</v>
      </c>
      <c r="G76" s="188">
        <f t="shared" si="4"/>
        <v>46070.658333333333</v>
      </c>
      <c r="H76" s="189">
        <v>60</v>
      </c>
      <c r="I76" s="325">
        <f t="shared" si="5"/>
        <v>46071.033333333333</v>
      </c>
      <c r="J76" s="323">
        <v>9</v>
      </c>
    </row>
    <row r="77" spans="1:10" hidden="1" x14ac:dyDescent="0.3">
      <c r="A77" s="236" t="s">
        <v>231</v>
      </c>
      <c r="B77" s="32" t="s">
        <v>311</v>
      </c>
      <c r="C77" s="7" t="s">
        <v>321</v>
      </c>
      <c r="D77" s="7" t="s">
        <v>323</v>
      </c>
      <c r="E77" s="54">
        <v>46066</v>
      </c>
      <c r="F77" s="180">
        <v>46069.912499999999</v>
      </c>
      <c r="G77" s="180">
        <f t="shared" si="4"/>
        <v>46071.995833333334</v>
      </c>
      <c r="H77" s="32">
        <v>50</v>
      </c>
      <c r="I77" s="326">
        <f t="shared" si="5"/>
        <v>46072.370833333334</v>
      </c>
      <c r="J77" s="324">
        <v>9</v>
      </c>
    </row>
    <row r="78" spans="1:10" hidden="1" x14ac:dyDescent="0.3">
      <c r="A78" s="236" t="s">
        <v>231</v>
      </c>
      <c r="B78" s="32" t="s">
        <v>311</v>
      </c>
      <c r="C78" s="7" t="s">
        <v>321</v>
      </c>
      <c r="D78" s="7" t="s">
        <v>324</v>
      </c>
      <c r="E78" s="54">
        <v>46069</v>
      </c>
      <c r="F78" s="180">
        <v>46072.8125</v>
      </c>
      <c r="G78" s="180">
        <f t="shared" si="4"/>
        <v>46075.3125</v>
      </c>
      <c r="H78" s="32">
        <v>60</v>
      </c>
      <c r="I78" s="326">
        <f t="shared" si="5"/>
        <v>46075.6875</v>
      </c>
      <c r="J78" s="324">
        <v>9</v>
      </c>
    </row>
    <row r="79" spans="1:10" hidden="1" x14ac:dyDescent="0.3">
      <c r="A79" s="236" t="s">
        <v>231</v>
      </c>
      <c r="B79" s="32" t="s">
        <v>311</v>
      </c>
      <c r="C79" s="7" t="s">
        <v>321</v>
      </c>
      <c r="D79" s="7" t="s">
        <v>325</v>
      </c>
      <c r="E79" s="54">
        <v>46070</v>
      </c>
      <c r="F79" s="180">
        <v>46073.260416666664</v>
      </c>
      <c r="G79" s="180">
        <f t="shared" si="4"/>
        <v>46074.260416666664</v>
      </c>
      <c r="H79" s="32">
        <v>24</v>
      </c>
      <c r="I79" s="326">
        <f t="shared" si="5"/>
        <v>46074.635416666664</v>
      </c>
      <c r="J79" s="324">
        <v>9</v>
      </c>
    </row>
    <row r="80" spans="1:10" hidden="1" x14ac:dyDescent="0.3">
      <c r="A80" s="236" t="s">
        <v>231</v>
      </c>
      <c r="B80" s="32" t="s">
        <v>311</v>
      </c>
      <c r="C80" s="7" t="s">
        <v>321</v>
      </c>
      <c r="D80" s="7" t="s">
        <v>326</v>
      </c>
      <c r="E80" s="54">
        <v>46071</v>
      </c>
      <c r="F80" s="180">
        <v>46074.510416666664</v>
      </c>
      <c r="G80" s="180">
        <f t="shared" si="4"/>
        <v>46076.510416666664</v>
      </c>
      <c r="H80" s="32">
        <v>48</v>
      </c>
      <c r="I80" s="326">
        <f t="shared" si="5"/>
        <v>46076.885416666664</v>
      </c>
      <c r="J80" s="324">
        <v>9</v>
      </c>
    </row>
    <row r="81" spans="1:10" hidden="1" x14ac:dyDescent="0.3">
      <c r="A81" s="236" t="s">
        <v>231</v>
      </c>
      <c r="B81" s="32" t="s">
        <v>311</v>
      </c>
      <c r="C81" s="7" t="s">
        <v>321</v>
      </c>
      <c r="D81" s="7" t="s">
        <v>327</v>
      </c>
      <c r="E81" s="54">
        <v>46077</v>
      </c>
      <c r="F81" s="180">
        <v>46080.21875</v>
      </c>
      <c r="G81" s="180">
        <f t="shared" si="4"/>
        <v>46082.71875</v>
      </c>
      <c r="H81" s="32">
        <v>60</v>
      </c>
      <c r="I81" s="326">
        <f t="shared" si="5"/>
        <v>46083.09375</v>
      </c>
      <c r="J81" s="324">
        <v>9</v>
      </c>
    </row>
    <row r="82" spans="1:10" hidden="1" x14ac:dyDescent="0.3">
      <c r="A82" s="236" t="s">
        <v>231</v>
      </c>
      <c r="B82" s="32" t="s">
        <v>311</v>
      </c>
      <c r="C82" s="7" t="s">
        <v>321</v>
      </c>
      <c r="D82" s="7" t="s">
        <v>328</v>
      </c>
      <c r="E82" s="54">
        <v>46085</v>
      </c>
      <c r="F82" s="180">
        <v>46087.583333333336</v>
      </c>
      <c r="G82" s="180">
        <f t="shared" si="4"/>
        <v>46088.833333333336</v>
      </c>
      <c r="H82" s="32">
        <v>30</v>
      </c>
      <c r="I82" s="326">
        <f t="shared" si="5"/>
        <v>46089.208333333336</v>
      </c>
      <c r="J82" s="324">
        <v>9</v>
      </c>
    </row>
    <row r="83" spans="1:10" hidden="1" x14ac:dyDescent="0.3">
      <c r="A83" s="236" t="s">
        <v>231</v>
      </c>
      <c r="B83" s="32" t="s">
        <v>311</v>
      </c>
      <c r="C83" s="7" t="s">
        <v>321</v>
      </c>
      <c r="D83" s="7" t="s">
        <v>329</v>
      </c>
      <c r="E83" s="54">
        <v>46085</v>
      </c>
      <c r="F83" s="180">
        <v>46087.875</v>
      </c>
      <c r="G83" s="180">
        <f t="shared" si="4"/>
        <v>46090.375</v>
      </c>
      <c r="H83" s="32">
        <v>60</v>
      </c>
      <c r="I83" s="326">
        <f t="shared" si="5"/>
        <v>46090.75</v>
      </c>
      <c r="J83" s="324">
        <v>9</v>
      </c>
    </row>
    <row r="84" spans="1:10" hidden="1" x14ac:dyDescent="0.3">
      <c r="A84" s="236" t="s">
        <v>231</v>
      </c>
      <c r="B84" s="32" t="s">
        <v>311</v>
      </c>
      <c r="C84" s="7" t="s">
        <v>321</v>
      </c>
      <c r="D84" s="7" t="s">
        <v>330</v>
      </c>
      <c r="E84" s="54">
        <v>46088</v>
      </c>
      <c r="F84" s="180">
        <v>46091.666666666664</v>
      </c>
      <c r="G84" s="180">
        <f t="shared" si="4"/>
        <v>46093.666666666664</v>
      </c>
      <c r="H84" s="32">
        <v>48</v>
      </c>
      <c r="I84" s="326">
        <f t="shared" si="5"/>
        <v>46094.041666666664</v>
      </c>
      <c r="J84" s="324">
        <v>9</v>
      </c>
    </row>
    <row r="85" spans="1:10" hidden="1" x14ac:dyDescent="0.3">
      <c r="A85" s="236" t="s">
        <v>231</v>
      </c>
      <c r="B85" s="32" t="s">
        <v>311</v>
      </c>
      <c r="C85" s="7" t="s">
        <v>321</v>
      </c>
      <c r="D85" s="7" t="s">
        <v>331</v>
      </c>
      <c r="E85" s="54">
        <v>46095</v>
      </c>
      <c r="F85" s="180">
        <v>46098.625</v>
      </c>
      <c r="G85" s="180">
        <f t="shared" si="4"/>
        <v>46101.125</v>
      </c>
      <c r="H85" s="32">
        <v>60</v>
      </c>
      <c r="I85" s="326">
        <f t="shared" si="5"/>
        <v>46101.5</v>
      </c>
      <c r="J85" s="324">
        <v>9</v>
      </c>
    </row>
    <row r="86" spans="1:10" hidden="1" x14ac:dyDescent="0.3">
      <c r="A86" s="236" t="s">
        <v>231</v>
      </c>
      <c r="B86" s="32" t="s">
        <v>311</v>
      </c>
      <c r="C86" s="7" t="s">
        <v>321</v>
      </c>
      <c r="D86" s="7" t="s">
        <v>332</v>
      </c>
      <c r="E86" s="54">
        <v>46099</v>
      </c>
      <c r="F86" s="180">
        <v>46101</v>
      </c>
      <c r="G86" s="180">
        <f t="shared" si="4"/>
        <v>46102</v>
      </c>
      <c r="H86" s="32">
        <v>24</v>
      </c>
      <c r="I86" s="326">
        <f t="shared" si="5"/>
        <v>46102.375</v>
      </c>
      <c r="J86" s="324">
        <v>9</v>
      </c>
    </row>
    <row r="87" spans="1:10" hidden="1" x14ac:dyDescent="0.3">
      <c r="A87" s="236" t="s">
        <v>231</v>
      </c>
      <c r="B87" s="32" t="s">
        <v>311</v>
      </c>
      <c r="C87" s="7" t="s">
        <v>321</v>
      </c>
      <c r="D87" s="7" t="s">
        <v>333</v>
      </c>
      <c r="E87" s="54">
        <v>46099</v>
      </c>
      <c r="F87" s="180">
        <v>46100.25</v>
      </c>
      <c r="G87" s="180">
        <f t="shared" si="4"/>
        <v>46100.375</v>
      </c>
      <c r="H87" s="32">
        <v>3</v>
      </c>
      <c r="I87" s="326">
        <f t="shared" si="5"/>
        <v>46100.75</v>
      </c>
      <c r="J87" s="324">
        <v>9</v>
      </c>
    </row>
    <row r="88" spans="1:10" hidden="1" x14ac:dyDescent="0.3">
      <c r="A88" s="236" t="s">
        <v>231</v>
      </c>
      <c r="B88" s="32" t="s">
        <v>311</v>
      </c>
      <c r="C88" s="7" t="s">
        <v>321</v>
      </c>
      <c r="D88" s="7" t="s">
        <v>334</v>
      </c>
      <c r="E88" s="54">
        <v>46112</v>
      </c>
      <c r="F88" s="180">
        <v>46113.916666666664</v>
      </c>
      <c r="G88" s="180">
        <f t="shared" si="4"/>
        <v>46114.916666666664</v>
      </c>
      <c r="H88" s="32">
        <v>24</v>
      </c>
      <c r="I88" s="326">
        <f t="shared" si="5"/>
        <v>46115.291666666664</v>
      </c>
      <c r="J88" s="324">
        <v>9</v>
      </c>
    </row>
    <row r="89" spans="1:10" hidden="1" x14ac:dyDescent="0.3">
      <c r="A89" s="236" t="s">
        <v>231</v>
      </c>
      <c r="B89" s="32" t="s">
        <v>311</v>
      </c>
      <c r="C89" s="7" t="s">
        <v>321</v>
      </c>
      <c r="D89" s="7" t="s">
        <v>335</v>
      </c>
      <c r="E89" s="54">
        <v>46120</v>
      </c>
      <c r="F89" s="180">
        <v>46121.708333333336</v>
      </c>
      <c r="G89" s="180">
        <f t="shared" si="4"/>
        <v>46124.208333333336</v>
      </c>
      <c r="H89" s="32">
        <v>60</v>
      </c>
      <c r="I89" s="326">
        <f t="shared" si="5"/>
        <v>46124.583333333336</v>
      </c>
      <c r="J89" s="324">
        <v>9</v>
      </c>
    </row>
    <row r="90" spans="1:10" hidden="1" x14ac:dyDescent="0.3">
      <c r="A90" s="236" t="s">
        <v>231</v>
      </c>
      <c r="B90" s="32" t="s">
        <v>311</v>
      </c>
      <c r="C90" s="7" t="s">
        <v>321</v>
      </c>
      <c r="D90" s="7" t="s">
        <v>336</v>
      </c>
      <c r="E90" s="54">
        <v>46125</v>
      </c>
      <c r="F90" s="180">
        <v>46127.541666666664</v>
      </c>
      <c r="G90" s="180">
        <f t="shared" si="4"/>
        <v>46129.041666666664</v>
      </c>
      <c r="H90" s="32">
        <v>36</v>
      </c>
      <c r="I90" s="326">
        <f t="shared" si="5"/>
        <v>46129.416666666664</v>
      </c>
      <c r="J90" s="324">
        <v>9</v>
      </c>
    </row>
    <row r="91" spans="1:10" hidden="1" x14ac:dyDescent="0.3">
      <c r="A91" s="236" t="s">
        <v>231</v>
      </c>
      <c r="B91" s="32" t="s">
        <v>311</v>
      </c>
      <c r="C91" s="7" t="s">
        <v>321</v>
      </c>
      <c r="D91" s="185" t="s">
        <v>337</v>
      </c>
      <c r="E91" s="8">
        <v>46131</v>
      </c>
      <c r="F91" s="238">
        <v>46132.916666666664</v>
      </c>
      <c r="G91" s="180">
        <f t="shared" si="4"/>
        <v>46133.041666666664</v>
      </c>
      <c r="H91" s="182">
        <v>3</v>
      </c>
      <c r="I91" s="326">
        <f t="shared" si="5"/>
        <v>46133.416666666664</v>
      </c>
      <c r="J91" s="182">
        <v>9</v>
      </c>
    </row>
    <row r="92" spans="1:10" hidden="1" x14ac:dyDescent="0.3">
      <c r="A92" s="250" t="s">
        <v>231</v>
      </c>
      <c r="B92" s="214" t="s">
        <v>311</v>
      </c>
      <c r="C92" s="212" t="s">
        <v>321</v>
      </c>
      <c r="D92" s="212" t="s">
        <v>338</v>
      </c>
      <c r="E92" s="241">
        <v>46139</v>
      </c>
      <c r="F92" s="213">
        <v>46141.456250000003</v>
      </c>
      <c r="G92" s="213">
        <f t="shared" si="4"/>
        <v>46142.706250000003</v>
      </c>
      <c r="H92" s="214">
        <v>30</v>
      </c>
      <c r="I92" s="333">
        <f t="shared" si="5"/>
        <v>46143.081250000003</v>
      </c>
      <c r="J92" s="328">
        <v>9</v>
      </c>
    </row>
    <row r="93" spans="1:10" hidden="1" x14ac:dyDescent="0.3">
      <c r="A93" s="235" t="s">
        <v>231</v>
      </c>
      <c r="B93" s="189" t="s">
        <v>311</v>
      </c>
      <c r="C93" s="122" t="s">
        <v>321</v>
      </c>
      <c r="D93" s="122" t="s">
        <v>339</v>
      </c>
      <c r="E93" s="239">
        <v>46142</v>
      </c>
      <c r="F93" s="188">
        <v>46147.208333333336</v>
      </c>
      <c r="G93" s="188">
        <f t="shared" si="4"/>
        <v>46148.458333333336</v>
      </c>
      <c r="H93" s="189">
        <v>30</v>
      </c>
      <c r="I93" s="188">
        <f t="shared" si="5"/>
        <v>46148.833333333336</v>
      </c>
      <c r="J93" s="190">
        <v>9</v>
      </c>
    </row>
    <row r="94" spans="1:10" s="255" customFormat="1" hidden="1" x14ac:dyDescent="0.3">
      <c r="A94" s="235" t="s">
        <v>231</v>
      </c>
      <c r="B94" s="214" t="s">
        <v>311</v>
      </c>
      <c r="C94" s="212" t="s">
        <v>321</v>
      </c>
      <c r="D94" s="212" t="s">
        <v>340</v>
      </c>
      <c r="E94" s="241">
        <v>46151</v>
      </c>
      <c r="F94" s="213">
        <v>46154.291666666664</v>
      </c>
      <c r="G94" s="213">
        <f t="shared" si="4"/>
        <v>46156.791666666664</v>
      </c>
      <c r="H94" s="214">
        <v>60</v>
      </c>
      <c r="I94" s="213">
        <f t="shared" si="5"/>
        <v>46157.166666666664</v>
      </c>
      <c r="J94" s="215">
        <v>9</v>
      </c>
    </row>
    <row r="95" spans="1:10" hidden="1" x14ac:dyDescent="0.3">
      <c r="A95" s="262" t="s">
        <v>231</v>
      </c>
      <c r="B95" s="189" t="s">
        <v>311</v>
      </c>
      <c r="C95" s="122" t="s">
        <v>341</v>
      </c>
      <c r="D95" s="122" t="s">
        <v>342</v>
      </c>
      <c r="E95" s="239">
        <v>46154</v>
      </c>
      <c r="F95" s="188">
        <v>46157.947916666664</v>
      </c>
      <c r="G95" s="188">
        <f t="shared" si="4"/>
        <v>46160.447916666664</v>
      </c>
      <c r="H95" s="189">
        <v>60</v>
      </c>
      <c r="I95" s="188">
        <f t="shared" si="5"/>
        <v>46160.822916666664</v>
      </c>
      <c r="J95" s="190">
        <v>9</v>
      </c>
    </row>
    <row r="96" spans="1:10" hidden="1" x14ac:dyDescent="0.3">
      <c r="A96" s="246" t="s">
        <v>231</v>
      </c>
      <c r="B96" s="32" t="s">
        <v>311</v>
      </c>
      <c r="C96" s="7" t="s">
        <v>341</v>
      </c>
      <c r="D96" s="7" t="s">
        <v>343</v>
      </c>
      <c r="E96" s="54">
        <v>46162</v>
      </c>
      <c r="F96" s="180">
        <v>46165.677083333336</v>
      </c>
      <c r="G96" s="180">
        <f t="shared" si="4"/>
        <v>46166.677083333336</v>
      </c>
      <c r="H96" s="32">
        <v>24</v>
      </c>
      <c r="I96" s="180">
        <f t="shared" si="5"/>
        <v>46167.052083333336</v>
      </c>
      <c r="J96" s="126">
        <v>9</v>
      </c>
    </row>
    <row r="97" spans="1:10" hidden="1" x14ac:dyDescent="0.3">
      <c r="A97" s="246" t="s">
        <v>231</v>
      </c>
      <c r="B97" s="32" t="s">
        <v>311</v>
      </c>
      <c r="C97" s="7" t="s">
        <v>341</v>
      </c>
      <c r="D97" s="7" t="s">
        <v>344</v>
      </c>
      <c r="E97" s="54">
        <v>46163</v>
      </c>
      <c r="F97" s="180">
        <v>46166.729166666664</v>
      </c>
      <c r="G97" s="180">
        <f t="shared" si="4"/>
        <v>46168.729166666664</v>
      </c>
      <c r="H97" s="32">
        <v>48</v>
      </c>
      <c r="I97" s="180">
        <f t="shared" si="5"/>
        <v>46169.104166666664</v>
      </c>
      <c r="J97" s="126">
        <v>9</v>
      </c>
    </row>
    <row r="98" spans="1:10" hidden="1" x14ac:dyDescent="0.3">
      <c r="A98" s="246" t="s">
        <v>231</v>
      </c>
      <c r="B98" s="32" t="s">
        <v>311</v>
      </c>
      <c r="C98" s="7" t="s">
        <v>341</v>
      </c>
      <c r="D98" s="7" t="s">
        <v>345</v>
      </c>
      <c r="E98" s="54">
        <v>46173</v>
      </c>
      <c r="F98" s="180">
        <v>46176.375</v>
      </c>
      <c r="G98" s="180">
        <f t="shared" si="4"/>
        <v>46178.375</v>
      </c>
      <c r="H98" s="32">
        <v>48</v>
      </c>
      <c r="I98" s="180">
        <f t="shared" si="5"/>
        <v>46178.75</v>
      </c>
      <c r="J98" s="126">
        <v>9</v>
      </c>
    </row>
    <row r="99" spans="1:10" ht="28.8" x14ac:dyDescent="0.3">
      <c r="A99" s="246" t="s">
        <v>231</v>
      </c>
      <c r="B99" s="32" t="s">
        <v>311</v>
      </c>
      <c r="C99" s="7" t="s">
        <v>341</v>
      </c>
      <c r="D99" s="396" t="s">
        <v>346</v>
      </c>
      <c r="E99" s="54">
        <v>46184</v>
      </c>
      <c r="F99" s="180">
        <v>46185.76666666667</v>
      </c>
      <c r="G99" s="180">
        <f t="shared" si="4"/>
        <v>46187.76666666667</v>
      </c>
      <c r="H99" s="32">
        <v>48</v>
      </c>
      <c r="I99" s="180">
        <f t="shared" si="5"/>
        <v>46188.14166666667</v>
      </c>
      <c r="J99" s="126">
        <v>9</v>
      </c>
    </row>
    <row r="100" spans="1:10" ht="29.4" thickBot="1" x14ac:dyDescent="0.35">
      <c r="A100" s="246" t="s">
        <v>231</v>
      </c>
      <c r="B100" s="32" t="s">
        <v>311</v>
      </c>
      <c r="C100" s="7" t="s">
        <v>341</v>
      </c>
      <c r="D100" s="436" t="s">
        <v>347</v>
      </c>
      <c r="E100" s="242">
        <v>46189</v>
      </c>
      <c r="F100" s="181">
        <v>46190.25</v>
      </c>
      <c r="G100" s="180">
        <f t="shared" si="4"/>
        <v>46191.5</v>
      </c>
      <c r="H100" s="170">
        <v>30</v>
      </c>
      <c r="I100" s="180">
        <f t="shared" si="5"/>
        <v>46191.875</v>
      </c>
      <c r="J100" s="191">
        <v>9</v>
      </c>
    </row>
    <row r="101" spans="1:10" ht="15" thickBot="1" x14ac:dyDescent="0.35">
      <c r="A101" s="262" t="s">
        <v>278</v>
      </c>
      <c r="B101" s="189" t="s">
        <v>311</v>
      </c>
      <c r="C101" s="122" t="s">
        <v>348</v>
      </c>
      <c r="D101" s="122" t="s">
        <v>349</v>
      </c>
      <c r="E101" s="239">
        <v>46190</v>
      </c>
      <c r="F101" s="188">
        <v>46192.520833333336</v>
      </c>
      <c r="G101" s="188">
        <f t="shared" si="4"/>
        <v>46194.020833333336</v>
      </c>
      <c r="H101" s="189">
        <v>36</v>
      </c>
      <c r="I101" s="188">
        <f t="shared" si="5"/>
        <v>46194.8125</v>
      </c>
      <c r="J101" s="190">
        <v>19</v>
      </c>
    </row>
    <row r="102" spans="1:10" x14ac:dyDescent="0.3">
      <c r="A102" s="262" t="s">
        <v>278</v>
      </c>
      <c r="B102" s="189" t="s">
        <v>311</v>
      </c>
      <c r="C102" s="122" t="s">
        <v>348</v>
      </c>
      <c r="D102" s="187" t="s">
        <v>481</v>
      </c>
      <c r="E102" s="242">
        <v>46198</v>
      </c>
      <c r="F102" s="181">
        <v>46199.75</v>
      </c>
      <c r="G102" s="188">
        <f t="shared" si="4"/>
        <v>46200.75</v>
      </c>
      <c r="H102" s="170">
        <v>24</v>
      </c>
      <c r="I102" s="188">
        <f t="shared" si="5"/>
        <v>46201.541666666664</v>
      </c>
      <c r="J102" s="191">
        <v>19</v>
      </c>
    </row>
    <row r="103" spans="1:10" x14ac:dyDescent="0.3">
      <c r="A103" s="246" t="s">
        <v>278</v>
      </c>
      <c r="B103" s="32" t="s">
        <v>311</v>
      </c>
      <c r="C103" s="7" t="s">
        <v>348</v>
      </c>
      <c r="D103" s="7" t="s">
        <v>350</v>
      </c>
      <c r="E103" s="54">
        <v>46201</v>
      </c>
      <c r="F103" s="180">
        <v>46204.239583333336</v>
      </c>
      <c r="G103" s="180">
        <f t="shared" si="4"/>
        <v>46206.739583333336</v>
      </c>
      <c r="H103" s="32">
        <v>60</v>
      </c>
      <c r="I103" s="180">
        <f t="shared" si="5"/>
        <v>46207.53125</v>
      </c>
      <c r="J103" s="126">
        <v>19</v>
      </c>
    </row>
    <row r="104" spans="1:10" x14ac:dyDescent="0.3">
      <c r="A104" s="246" t="s">
        <v>278</v>
      </c>
      <c r="B104" s="32" t="s">
        <v>311</v>
      </c>
      <c r="C104" s="7" t="s">
        <v>348</v>
      </c>
      <c r="D104" s="7" t="s">
        <v>482</v>
      </c>
      <c r="E104" s="54">
        <v>46206</v>
      </c>
      <c r="F104" s="180">
        <v>46209.822916666664</v>
      </c>
      <c r="G104" s="180">
        <f t="shared" ref="G104:G133" si="6">F104+(H104/24)</f>
        <v>46211.822916666664</v>
      </c>
      <c r="H104" s="32">
        <v>48</v>
      </c>
      <c r="I104" s="180">
        <f t="shared" ref="I104:I125" si="7">G104+(J104/24)</f>
        <v>46212.614583333328</v>
      </c>
      <c r="J104" s="126">
        <v>19</v>
      </c>
    </row>
    <row r="105" spans="1:10" x14ac:dyDescent="0.3">
      <c r="A105" s="246" t="s">
        <v>278</v>
      </c>
      <c r="B105" s="32" t="s">
        <v>311</v>
      </c>
      <c r="C105" s="7" t="s">
        <v>348</v>
      </c>
      <c r="D105" s="7" t="s">
        <v>483</v>
      </c>
      <c r="E105" s="54">
        <v>46212</v>
      </c>
      <c r="F105" s="213">
        <v>46213.822916666664</v>
      </c>
      <c r="G105" s="180">
        <f t="shared" si="6"/>
        <v>46215.072916666664</v>
      </c>
      <c r="H105" s="214">
        <v>30</v>
      </c>
      <c r="I105" s="180">
        <f t="shared" si="7"/>
        <v>46215.864583333328</v>
      </c>
      <c r="J105" s="215">
        <v>19</v>
      </c>
    </row>
    <row r="106" spans="1:10" ht="15" thickBot="1" x14ac:dyDescent="0.35">
      <c r="A106" s="247" t="s">
        <v>278</v>
      </c>
      <c r="B106" s="184" t="s">
        <v>311</v>
      </c>
      <c r="C106" s="123" t="s">
        <v>348</v>
      </c>
      <c r="D106" s="123" t="s">
        <v>351</v>
      </c>
      <c r="E106" s="240">
        <v>46219</v>
      </c>
      <c r="F106" s="183">
        <v>46221.635416666664</v>
      </c>
      <c r="G106" s="183">
        <f t="shared" si="6"/>
        <v>46223.135416666664</v>
      </c>
      <c r="H106" s="184">
        <v>36</v>
      </c>
      <c r="I106" s="183">
        <f t="shared" si="7"/>
        <v>46223.927083333328</v>
      </c>
      <c r="J106" s="127">
        <v>19</v>
      </c>
    </row>
    <row r="107" spans="1:10" ht="15" hidden="1" thickBot="1" x14ac:dyDescent="0.35">
      <c r="A107" s="249" t="s">
        <v>231</v>
      </c>
      <c r="B107" s="334" t="s">
        <v>64</v>
      </c>
      <c r="C107" s="335" t="s">
        <v>352</v>
      </c>
      <c r="D107" s="187" t="s">
        <v>353</v>
      </c>
      <c r="E107" s="242">
        <v>46095</v>
      </c>
      <c r="F107" s="181">
        <v>46096.333333333336</v>
      </c>
      <c r="G107" s="336">
        <f t="shared" si="6"/>
        <v>46098.333333333336</v>
      </c>
      <c r="H107" s="170">
        <v>48</v>
      </c>
      <c r="I107" s="336">
        <f t="shared" si="7"/>
        <v>46098.458333333336</v>
      </c>
      <c r="J107" s="191">
        <v>3</v>
      </c>
    </row>
    <row r="108" spans="1:10" ht="15" hidden="1" thickBot="1" x14ac:dyDescent="0.35">
      <c r="A108" s="236" t="s">
        <v>231</v>
      </c>
      <c r="B108" s="243" t="s">
        <v>64</v>
      </c>
      <c r="C108" s="244" t="s">
        <v>352</v>
      </c>
      <c r="D108" s="7" t="s">
        <v>354</v>
      </c>
      <c r="E108" s="54">
        <v>46097</v>
      </c>
      <c r="F108" s="180">
        <v>46098.333333333336</v>
      </c>
      <c r="G108" s="245">
        <f t="shared" si="6"/>
        <v>46099.833333333336</v>
      </c>
      <c r="H108" s="32">
        <v>36</v>
      </c>
      <c r="I108" s="245">
        <f t="shared" si="7"/>
        <v>46099.958333333336</v>
      </c>
      <c r="J108" s="126">
        <v>3</v>
      </c>
    </row>
    <row r="109" spans="1:10" ht="15" hidden="1" thickBot="1" x14ac:dyDescent="0.35">
      <c r="A109" s="236" t="s">
        <v>231</v>
      </c>
      <c r="B109" s="243" t="s">
        <v>64</v>
      </c>
      <c r="C109" s="244" t="s">
        <v>352</v>
      </c>
      <c r="D109" s="7" t="s">
        <v>355</v>
      </c>
      <c r="E109" s="54">
        <v>46101</v>
      </c>
      <c r="F109" s="180">
        <v>46103.333333333336</v>
      </c>
      <c r="G109" s="245">
        <f t="shared" si="6"/>
        <v>46108.333333333336</v>
      </c>
      <c r="H109" s="32">
        <v>120</v>
      </c>
      <c r="I109" s="245">
        <f t="shared" si="7"/>
        <v>46110.166666666672</v>
      </c>
      <c r="J109" s="126">
        <v>44</v>
      </c>
    </row>
    <row r="110" spans="1:10" ht="15" hidden="1" thickBot="1" x14ac:dyDescent="0.35">
      <c r="A110" s="237" t="s">
        <v>231</v>
      </c>
      <c r="B110" s="211" t="s">
        <v>64</v>
      </c>
      <c r="C110" s="204" t="s">
        <v>356</v>
      </c>
      <c r="D110" s="123" t="s">
        <v>357</v>
      </c>
      <c r="E110" s="240">
        <v>46112</v>
      </c>
      <c r="F110" s="183">
        <v>46114.5</v>
      </c>
      <c r="G110" s="205">
        <f t="shared" si="6"/>
        <v>46118.5</v>
      </c>
      <c r="H110" s="184">
        <v>96</v>
      </c>
      <c r="I110" s="205">
        <f t="shared" si="7"/>
        <v>46120.333333333336</v>
      </c>
      <c r="J110" s="127">
        <v>44</v>
      </c>
    </row>
    <row r="111" spans="1:10" ht="15" hidden="1" thickBot="1" x14ac:dyDescent="0.35">
      <c r="A111" s="235" t="s">
        <v>231</v>
      </c>
      <c r="B111" s="210" t="s">
        <v>64</v>
      </c>
      <c r="C111" s="202" t="s">
        <v>358</v>
      </c>
      <c r="D111" s="122" t="s">
        <v>359</v>
      </c>
      <c r="E111" s="239">
        <v>46124</v>
      </c>
      <c r="F111" s="188">
        <v>46125.875</v>
      </c>
      <c r="G111" s="203">
        <f t="shared" si="6"/>
        <v>46127.875</v>
      </c>
      <c r="H111" s="189">
        <v>48</v>
      </c>
      <c r="I111" s="203">
        <f t="shared" si="7"/>
        <v>46128.25</v>
      </c>
      <c r="J111" s="190">
        <v>9</v>
      </c>
    </row>
    <row r="112" spans="1:10" ht="15" hidden="1" thickBot="1" x14ac:dyDescent="0.35">
      <c r="A112" s="250" t="s">
        <v>231</v>
      </c>
      <c r="B112" s="337" t="s">
        <v>64</v>
      </c>
      <c r="C112" s="338" t="s">
        <v>358</v>
      </c>
      <c r="D112" s="212" t="s">
        <v>360</v>
      </c>
      <c r="E112" s="241">
        <v>46108</v>
      </c>
      <c r="F112" s="213">
        <v>46132.041666666664</v>
      </c>
      <c r="G112" s="339">
        <f t="shared" si="6"/>
        <v>46136.041666666664</v>
      </c>
      <c r="H112" s="214">
        <v>96</v>
      </c>
      <c r="I112" s="339">
        <f t="shared" si="7"/>
        <v>46136.416666666664</v>
      </c>
      <c r="J112" s="215">
        <v>9</v>
      </c>
    </row>
    <row r="113" spans="1:25" ht="15" hidden="1" thickBot="1" x14ac:dyDescent="0.35">
      <c r="A113" s="343" t="s">
        <v>231</v>
      </c>
      <c r="B113" s="344" t="s">
        <v>64</v>
      </c>
      <c r="C113" s="345" t="s">
        <v>361</v>
      </c>
      <c r="D113" s="345" t="s">
        <v>362</v>
      </c>
      <c r="E113" s="346">
        <v>46142</v>
      </c>
      <c r="F113" s="347">
        <v>46144.25</v>
      </c>
      <c r="G113" s="347">
        <f t="shared" si="6"/>
        <v>46146.25</v>
      </c>
      <c r="H113" s="344">
        <v>48</v>
      </c>
      <c r="I113" s="347">
        <f t="shared" si="7"/>
        <v>46146.666666666664</v>
      </c>
      <c r="J113" s="348">
        <v>10</v>
      </c>
    </row>
    <row r="114" spans="1:25" ht="15" thickBot="1" x14ac:dyDescent="0.35">
      <c r="A114" s="384" t="s">
        <v>278</v>
      </c>
      <c r="B114" s="385" t="s">
        <v>363</v>
      </c>
      <c r="C114" s="386" t="s">
        <v>364</v>
      </c>
      <c r="D114" s="386" t="s">
        <v>484</v>
      </c>
      <c r="E114" s="387">
        <v>46229</v>
      </c>
      <c r="F114" s="388">
        <v>46231</v>
      </c>
      <c r="G114" s="388">
        <f t="shared" si="6"/>
        <v>46233</v>
      </c>
      <c r="H114" s="385">
        <v>48</v>
      </c>
      <c r="I114" s="388">
        <f t="shared" si="7"/>
        <v>46233.5</v>
      </c>
      <c r="J114" s="389">
        <v>12</v>
      </c>
    </row>
    <row r="115" spans="1:25" ht="15" thickBot="1" x14ac:dyDescent="0.35">
      <c r="A115" s="384" t="s">
        <v>278</v>
      </c>
      <c r="B115" s="385" t="s">
        <v>363</v>
      </c>
      <c r="C115" s="386" t="s">
        <v>364</v>
      </c>
      <c r="D115" s="439" t="s">
        <v>485</v>
      </c>
      <c r="E115" s="387">
        <v>46231</v>
      </c>
      <c r="F115" s="388">
        <v>46233</v>
      </c>
      <c r="G115" s="388">
        <f t="shared" si="6"/>
        <v>46235</v>
      </c>
      <c r="H115" s="385">
        <v>48</v>
      </c>
      <c r="I115" s="388">
        <f t="shared" si="7"/>
        <v>46235.5</v>
      </c>
      <c r="J115" s="389">
        <v>12</v>
      </c>
    </row>
    <row r="116" spans="1:25" x14ac:dyDescent="0.3">
      <c r="A116" s="262" t="s">
        <v>278</v>
      </c>
      <c r="B116" s="189" t="s">
        <v>363</v>
      </c>
      <c r="C116" s="122" t="s">
        <v>365</v>
      </c>
      <c r="D116" s="122" t="s">
        <v>366</v>
      </c>
      <c r="E116" s="239">
        <v>46242</v>
      </c>
      <c r="F116" s="188">
        <v>46243</v>
      </c>
      <c r="G116" s="188">
        <f t="shared" si="6"/>
        <v>46244.5</v>
      </c>
      <c r="H116" s="189">
        <v>36</v>
      </c>
      <c r="I116" s="188">
        <f t="shared" si="7"/>
        <v>46244.916666666664</v>
      </c>
      <c r="J116" s="190">
        <v>10</v>
      </c>
    </row>
    <row r="117" spans="1:25" x14ac:dyDescent="0.3">
      <c r="A117" s="246" t="s">
        <v>278</v>
      </c>
      <c r="B117" s="32" t="s">
        <v>363</v>
      </c>
      <c r="C117" s="7" t="s">
        <v>365</v>
      </c>
      <c r="D117" s="7" t="s">
        <v>367</v>
      </c>
      <c r="E117" s="54">
        <v>46246</v>
      </c>
      <c r="F117" s="180">
        <v>46247</v>
      </c>
      <c r="G117" s="180">
        <f t="shared" si="6"/>
        <v>46249.5</v>
      </c>
      <c r="H117" s="32">
        <v>60</v>
      </c>
      <c r="I117" s="180">
        <f t="shared" si="7"/>
        <v>46249.916666666664</v>
      </c>
      <c r="J117" s="126">
        <v>10</v>
      </c>
    </row>
    <row r="118" spans="1:25" x14ac:dyDescent="0.3">
      <c r="A118" s="246" t="s">
        <v>278</v>
      </c>
      <c r="B118" s="32" t="s">
        <v>363</v>
      </c>
      <c r="C118" s="7" t="s">
        <v>365</v>
      </c>
      <c r="D118" s="7" t="s">
        <v>368</v>
      </c>
      <c r="E118" s="54">
        <v>46247</v>
      </c>
      <c r="F118" s="180">
        <v>46248.84375</v>
      </c>
      <c r="G118" s="180">
        <f t="shared" si="6"/>
        <v>46251.84375</v>
      </c>
      <c r="H118" s="32">
        <v>72</v>
      </c>
      <c r="I118" s="180">
        <f t="shared" si="7"/>
        <v>46252.260416666664</v>
      </c>
      <c r="J118" s="126">
        <v>10</v>
      </c>
      <c r="U118" s="1" t="s">
        <v>18</v>
      </c>
    </row>
    <row r="119" spans="1:25" x14ac:dyDescent="0.3">
      <c r="A119" s="246" t="s">
        <v>278</v>
      </c>
      <c r="B119" s="32" t="s">
        <v>363</v>
      </c>
      <c r="C119" s="7" t="s">
        <v>365</v>
      </c>
      <c r="D119" s="7" t="s">
        <v>369</v>
      </c>
      <c r="E119" s="54">
        <v>46248</v>
      </c>
      <c r="F119" s="180">
        <v>46250.34375</v>
      </c>
      <c r="G119" s="180">
        <f t="shared" si="6"/>
        <v>46253.34375</v>
      </c>
      <c r="H119" s="32">
        <v>72</v>
      </c>
      <c r="I119" s="180">
        <f t="shared" si="7"/>
        <v>46253.760416666664</v>
      </c>
      <c r="J119" s="126">
        <v>10</v>
      </c>
    </row>
    <row r="120" spans="1:25" ht="15" thickBot="1" x14ac:dyDescent="0.35">
      <c r="A120" s="331" t="s">
        <v>278</v>
      </c>
      <c r="B120" s="214" t="s">
        <v>363</v>
      </c>
      <c r="C120" s="212" t="s">
        <v>365</v>
      </c>
      <c r="D120" s="212" t="s">
        <v>370</v>
      </c>
      <c r="E120" s="241">
        <v>46251</v>
      </c>
      <c r="F120" s="213">
        <v>46252.072916666664</v>
      </c>
      <c r="G120" s="213">
        <f t="shared" si="6"/>
        <v>46254.572916666664</v>
      </c>
      <c r="H120" s="214">
        <v>60</v>
      </c>
      <c r="I120" s="213">
        <f t="shared" si="7"/>
        <v>46254.989583333328</v>
      </c>
      <c r="J120" s="215">
        <v>10</v>
      </c>
    </row>
    <row r="121" spans="1:25" x14ac:dyDescent="0.3">
      <c r="A121" s="262" t="s">
        <v>278</v>
      </c>
      <c r="B121" s="189" t="s">
        <v>363</v>
      </c>
      <c r="C121" s="122" t="s">
        <v>371</v>
      </c>
      <c r="D121" s="122" t="s">
        <v>372</v>
      </c>
      <c r="E121" s="239">
        <v>46251</v>
      </c>
      <c r="F121" s="188">
        <v>46253.564583333333</v>
      </c>
      <c r="G121" s="188">
        <f t="shared" si="6"/>
        <v>46255.064583333333</v>
      </c>
      <c r="H121" s="189">
        <v>36</v>
      </c>
      <c r="I121" s="188">
        <f t="shared" si="7"/>
        <v>46255.481249999997</v>
      </c>
      <c r="J121" s="190">
        <v>10</v>
      </c>
    </row>
    <row r="122" spans="1:25" ht="15" thickBot="1" x14ac:dyDescent="0.35">
      <c r="A122" s="331" t="s">
        <v>278</v>
      </c>
      <c r="B122" s="214" t="s">
        <v>363</v>
      </c>
      <c r="C122" s="212" t="s">
        <v>371</v>
      </c>
      <c r="D122" s="212" t="s">
        <v>373</v>
      </c>
      <c r="E122" s="241">
        <v>46259</v>
      </c>
      <c r="F122" s="213">
        <v>46260.731249999997</v>
      </c>
      <c r="G122" s="213">
        <f t="shared" si="6"/>
        <v>46262.231249999997</v>
      </c>
      <c r="H122" s="214">
        <v>36</v>
      </c>
      <c r="I122" s="213">
        <f t="shared" si="7"/>
        <v>46262.647916666661</v>
      </c>
      <c r="J122" s="215">
        <v>10</v>
      </c>
    </row>
    <row r="123" spans="1:25" ht="15" thickBot="1" x14ac:dyDescent="0.35">
      <c r="A123" s="384" t="s">
        <v>278</v>
      </c>
      <c r="B123" s="385" t="s">
        <v>363</v>
      </c>
      <c r="C123" s="386" t="s">
        <v>374</v>
      </c>
      <c r="D123" s="386" t="s">
        <v>375</v>
      </c>
      <c r="E123" s="387">
        <v>46264</v>
      </c>
      <c r="F123" s="388">
        <v>46265.958333333336</v>
      </c>
      <c r="G123" s="388">
        <f t="shared" si="6"/>
        <v>46267.208333333336</v>
      </c>
      <c r="H123" s="385">
        <v>30</v>
      </c>
      <c r="I123" s="388">
        <f t="shared" si="7"/>
        <v>46267.625</v>
      </c>
      <c r="J123" s="389">
        <v>10</v>
      </c>
    </row>
    <row r="124" spans="1:25" ht="15" hidden="1" thickBot="1" x14ac:dyDescent="0.35">
      <c r="A124" s="262" t="s">
        <v>231</v>
      </c>
      <c r="B124" s="189" t="s">
        <v>122</v>
      </c>
      <c r="C124" s="122" t="s">
        <v>376</v>
      </c>
      <c r="D124" s="408" t="s">
        <v>377</v>
      </c>
      <c r="E124" s="239">
        <v>46159</v>
      </c>
      <c r="F124" s="188">
        <v>46160.020833333336</v>
      </c>
      <c r="G124" s="188">
        <f t="shared" si="6"/>
        <v>46162.020833333336</v>
      </c>
      <c r="H124" s="189">
        <v>48</v>
      </c>
      <c r="I124" s="188">
        <f t="shared" si="7"/>
        <v>46162.4375</v>
      </c>
      <c r="J124" s="190">
        <v>10</v>
      </c>
    </row>
    <row r="125" spans="1:25" s="395" customFormat="1" ht="15" hidden="1" thickBot="1" x14ac:dyDescent="0.35">
      <c r="A125" s="246" t="s">
        <v>231</v>
      </c>
      <c r="B125" s="391" t="s">
        <v>122</v>
      </c>
      <c r="C125" s="392" t="s">
        <v>376</v>
      </c>
      <c r="D125" s="392" t="s">
        <v>378</v>
      </c>
      <c r="E125" s="393">
        <v>46162</v>
      </c>
      <c r="F125" s="394">
        <v>46164.75</v>
      </c>
      <c r="G125" s="394">
        <f t="shared" si="6"/>
        <v>46167.25</v>
      </c>
      <c r="H125" s="391">
        <v>60</v>
      </c>
      <c r="I125" s="394">
        <f t="shared" si="7"/>
        <v>46167.666666666664</v>
      </c>
      <c r="J125" s="409">
        <v>10</v>
      </c>
    </row>
    <row r="126" spans="1:25" ht="15" hidden="1" thickBot="1" x14ac:dyDescent="0.35">
      <c r="A126" s="246" t="s">
        <v>231</v>
      </c>
      <c r="B126" s="32" t="s">
        <v>122</v>
      </c>
      <c r="C126" s="7" t="s">
        <v>379</v>
      </c>
      <c r="D126" s="390" t="s">
        <v>380</v>
      </c>
      <c r="E126" s="54">
        <v>46168</v>
      </c>
      <c r="F126" s="180">
        <v>46170.75</v>
      </c>
      <c r="G126" s="180">
        <f t="shared" si="6"/>
        <v>46174.083333333336</v>
      </c>
      <c r="H126" s="32">
        <v>80</v>
      </c>
      <c r="I126" s="180">
        <v>46174.083333333336</v>
      </c>
      <c r="J126" s="126">
        <v>10</v>
      </c>
    </row>
    <row r="127" spans="1:25" ht="15" hidden="1" thickBot="1" x14ac:dyDescent="0.35">
      <c r="A127" s="331" t="s">
        <v>231</v>
      </c>
      <c r="B127" s="214" t="s">
        <v>122</v>
      </c>
      <c r="C127" s="212" t="s">
        <v>379</v>
      </c>
      <c r="D127" s="253" t="s">
        <v>381</v>
      </c>
      <c r="E127" s="241">
        <v>46170</v>
      </c>
      <c r="F127" s="213">
        <v>46172.25</v>
      </c>
      <c r="G127" s="213">
        <f t="shared" si="6"/>
        <v>46176.416666666664</v>
      </c>
      <c r="H127" s="214">
        <v>100</v>
      </c>
      <c r="I127" s="213">
        <v>46174.083333333336</v>
      </c>
      <c r="J127" s="215">
        <v>10</v>
      </c>
      <c r="Y127" s="1" t="s">
        <v>18</v>
      </c>
    </row>
    <row r="128" spans="1:25" ht="15" thickBot="1" x14ac:dyDescent="0.35">
      <c r="A128" s="262" t="s">
        <v>278</v>
      </c>
      <c r="B128" s="189" t="s">
        <v>163</v>
      </c>
      <c r="C128" s="122" t="s">
        <v>382</v>
      </c>
      <c r="D128" s="122" t="s">
        <v>383</v>
      </c>
      <c r="E128" s="239">
        <v>46198</v>
      </c>
      <c r="F128" s="188">
        <v>46201.875</v>
      </c>
      <c r="G128" s="188">
        <f t="shared" si="6"/>
        <v>46204.375</v>
      </c>
      <c r="H128" s="189">
        <v>60</v>
      </c>
      <c r="I128" s="188">
        <f t="shared" ref="I128:I174" si="8">G128+(J128/24)</f>
        <v>46205.375</v>
      </c>
      <c r="J128" s="190">
        <v>24</v>
      </c>
    </row>
    <row r="129" spans="1:10" ht="15" thickBot="1" x14ac:dyDescent="0.35">
      <c r="A129" s="262" t="s">
        <v>278</v>
      </c>
      <c r="B129" s="189" t="s">
        <v>163</v>
      </c>
      <c r="C129" s="122" t="s">
        <v>382</v>
      </c>
      <c r="D129" s="123" t="s">
        <v>384</v>
      </c>
      <c r="E129" s="240">
        <v>46200</v>
      </c>
      <c r="F129" s="183">
        <v>46202.625</v>
      </c>
      <c r="G129" s="205">
        <f t="shared" ref="G129" si="9">F129+(H129/24)</f>
        <v>46205.125</v>
      </c>
      <c r="H129" s="184">
        <v>60</v>
      </c>
      <c r="I129" s="205">
        <f t="shared" ref="I129" si="10">G129+(J129/24)</f>
        <v>46205.625</v>
      </c>
      <c r="J129" s="127">
        <v>12</v>
      </c>
    </row>
    <row r="130" spans="1:10" x14ac:dyDescent="0.3">
      <c r="A130" s="262" t="s">
        <v>278</v>
      </c>
      <c r="B130" s="189" t="s">
        <v>163</v>
      </c>
      <c r="C130" s="122" t="s">
        <v>382</v>
      </c>
      <c r="D130" s="345" t="s">
        <v>385</v>
      </c>
      <c r="E130" s="418">
        <v>46203</v>
      </c>
      <c r="F130" s="419">
        <v>46205.125</v>
      </c>
      <c r="G130" s="419">
        <f>F130+(H130/24)</f>
        <v>46208.625</v>
      </c>
      <c r="H130" s="344">
        <v>84</v>
      </c>
      <c r="I130" s="419">
        <f>G130+(J130/24)</f>
        <v>46209.125</v>
      </c>
      <c r="J130" s="348">
        <v>12</v>
      </c>
    </row>
    <row r="131" spans="1:10" ht="15" thickBot="1" x14ac:dyDescent="0.35">
      <c r="A131" s="262" t="s">
        <v>278</v>
      </c>
      <c r="B131" s="189" t="s">
        <v>163</v>
      </c>
      <c r="C131" s="122" t="s">
        <v>386</v>
      </c>
      <c r="D131" s="417" t="s">
        <v>387</v>
      </c>
      <c r="E131" s="405">
        <v>46207</v>
      </c>
      <c r="F131" s="406">
        <v>46208.5625</v>
      </c>
      <c r="G131" s="419">
        <f t="shared" ref="G131:G132" si="11">F131+(H131/24)</f>
        <v>46210.8125</v>
      </c>
      <c r="H131" s="403">
        <v>54</v>
      </c>
      <c r="I131" s="419">
        <f t="shared" ref="I131:I132" si="12">G131+(J131/24)</f>
        <v>46211.3125</v>
      </c>
      <c r="J131" s="348">
        <v>12</v>
      </c>
    </row>
    <row r="132" spans="1:10" ht="15" thickBot="1" x14ac:dyDescent="0.35">
      <c r="A132" s="262" t="s">
        <v>278</v>
      </c>
      <c r="B132" s="189" t="s">
        <v>163</v>
      </c>
      <c r="C132" s="122" t="s">
        <v>386</v>
      </c>
      <c r="D132" s="122" t="s">
        <v>469</v>
      </c>
      <c r="E132" s="239">
        <v>46216</v>
      </c>
      <c r="F132" s="188">
        <v>46217.25</v>
      </c>
      <c r="G132" s="419">
        <f t="shared" si="11"/>
        <v>46218.75</v>
      </c>
      <c r="H132" s="189">
        <v>36</v>
      </c>
      <c r="I132" s="419">
        <f t="shared" si="12"/>
        <v>46219.25</v>
      </c>
      <c r="J132" s="348">
        <v>12</v>
      </c>
    </row>
    <row r="133" spans="1:10" ht="15" hidden="1" thickBot="1" x14ac:dyDescent="0.35">
      <c r="A133" s="411" t="s">
        <v>231</v>
      </c>
      <c r="B133" s="412" t="s">
        <v>64</v>
      </c>
      <c r="C133" s="413" t="s">
        <v>388</v>
      </c>
      <c r="D133" s="413" t="s">
        <v>389</v>
      </c>
      <c r="E133" s="414">
        <v>46162</v>
      </c>
      <c r="F133" s="414">
        <v>46164</v>
      </c>
      <c r="G133" s="415">
        <f t="shared" si="6"/>
        <v>46164.416666666664</v>
      </c>
      <c r="H133" s="412">
        <v>10</v>
      </c>
      <c r="I133" s="415">
        <f t="shared" si="8"/>
        <v>46164.833333333328</v>
      </c>
      <c r="J133" s="416">
        <v>10</v>
      </c>
    </row>
    <row r="134" spans="1:10" ht="15" hidden="1" thickBot="1" x14ac:dyDescent="0.35">
      <c r="A134" s="380" t="s">
        <v>231</v>
      </c>
      <c r="B134" s="350" t="s">
        <v>64</v>
      </c>
      <c r="C134" s="349" t="s">
        <v>388</v>
      </c>
      <c r="D134" s="349" t="s">
        <v>390</v>
      </c>
      <c r="E134" s="351">
        <v>46163</v>
      </c>
      <c r="F134" s="351">
        <v>46165</v>
      </c>
      <c r="G134" s="352">
        <f>F133+(H133/24)</f>
        <v>46164.416666666664</v>
      </c>
      <c r="H134" s="350">
        <v>5</v>
      </c>
      <c r="I134" s="352">
        <f t="shared" si="8"/>
        <v>46164.625</v>
      </c>
      <c r="J134" s="381">
        <v>5</v>
      </c>
    </row>
    <row r="135" spans="1:10" ht="15" hidden="1" thickBot="1" x14ac:dyDescent="0.35">
      <c r="A135" s="380" t="s">
        <v>231</v>
      </c>
      <c r="B135" s="354" t="s">
        <v>64</v>
      </c>
      <c r="C135" s="353" t="s">
        <v>388</v>
      </c>
      <c r="D135" s="185" t="s">
        <v>391</v>
      </c>
      <c r="E135" s="355">
        <v>46166</v>
      </c>
      <c r="F135" s="355">
        <v>46168</v>
      </c>
      <c r="G135" s="356">
        <f t="shared" ref="G135:G174" si="13">F135+(H135/24)</f>
        <v>46168.208333333336</v>
      </c>
      <c r="H135" s="354">
        <v>5</v>
      </c>
      <c r="I135" s="356">
        <f t="shared" si="8"/>
        <v>46168.416666666672</v>
      </c>
      <c r="J135" s="382">
        <v>5</v>
      </c>
    </row>
    <row r="136" spans="1:10" ht="15" hidden="1" thickBot="1" x14ac:dyDescent="0.35">
      <c r="A136" s="380" t="s">
        <v>231</v>
      </c>
      <c r="B136" s="354" t="s">
        <v>64</v>
      </c>
      <c r="C136" s="353" t="s">
        <v>388</v>
      </c>
      <c r="D136" s="410" t="s">
        <v>392</v>
      </c>
      <c r="E136" s="355">
        <v>46170</v>
      </c>
      <c r="F136" s="355">
        <v>46172</v>
      </c>
      <c r="G136" s="356">
        <f t="shared" si="13"/>
        <v>46172.416666666664</v>
      </c>
      <c r="H136" s="354">
        <v>10</v>
      </c>
      <c r="I136" s="356">
        <f t="shared" si="8"/>
        <v>46172.833333333328</v>
      </c>
      <c r="J136" s="382">
        <v>10</v>
      </c>
    </row>
    <row r="137" spans="1:10" ht="15" thickBot="1" x14ac:dyDescent="0.35">
      <c r="A137" s="383" t="s">
        <v>278</v>
      </c>
      <c r="B137" s="403" t="s">
        <v>393</v>
      </c>
      <c r="C137" s="383" t="s">
        <v>394</v>
      </c>
      <c r="D137" s="417" t="s">
        <v>395</v>
      </c>
      <c r="E137" s="405">
        <v>46261</v>
      </c>
      <c r="F137" s="406">
        <v>46266.25</v>
      </c>
      <c r="G137" s="406">
        <f t="shared" si="13"/>
        <v>46388.25</v>
      </c>
      <c r="H137" s="403">
        <v>2928</v>
      </c>
      <c r="I137" s="406">
        <f t="shared" si="8"/>
        <v>46388.583333333336</v>
      </c>
      <c r="J137" s="403">
        <v>8</v>
      </c>
    </row>
    <row r="138" spans="1:10" x14ac:dyDescent="0.3">
      <c r="A138" s="262" t="s">
        <v>278</v>
      </c>
      <c r="B138" s="189" t="s">
        <v>232</v>
      </c>
      <c r="C138" s="122" t="s">
        <v>396</v>
      </c>
      <c r="D138" s="404" t="s">
        <v>397</v>
      </c>
      <c r="E138" s="239">
        <v>46187</v>
      </c>
      <c r="F138" s="188">
        <v>46191</v>
      </c>
      <c r="G138" s="188">
        <f t="shared" si="13"/>
        <v>46192.5</v>
      </c>
      <c r="H138" s="189">
        <v>36</v>
      </c>
      <c r="I138" s="188">
        <f t="shared" si="8"/>
        <v>46193.166666666664</v>
      </c>
      <c r="J138" s="190">
        <v>16</v>
      </c>
    </row>
    <row r="139" spans="1:10" ht="43.2" x14ac:dyDescent="0.3">
      <c r="A139" s="246" t="s">
        <v>278</v>
      </c>
      <c r="B139" s="32" t="s">
        <v>232</v>
      </c>
      <c r="C139" s="7" t="s">
        <v>396</v>
      </c>
      <c r="D139" s="438" t="s">
        <v>398</v>
      </c>
      <c r="E139" s="54">
        <v>46190</v>
      </c>
      <c r="F139" s="180">
        <v>46193.291666666664</v>
      </c>
      <c r="G139" s="180">
        <f t="shared" si="13"/>
        <v>46194.291666666664</v>
      </c>
      <c r="H139" s="32">
        <v>24</v>
      </c>
      <c r="I139" s="180">
        <f t="shared" si="8"/>
        <v>46194.958333333328</v>
      </c>
      <c r="J139" s="126">
        <v>16</v>
      </c>
    </row>
    <row r="140" spans="1:10" x14ac:dyDescent="0.3">
      <c r="A140" s="246" t="s">
        <v>278</v>
      </c>
      <c r="B140" s="32" t="s">
        <v>232</v>
      </c>
      <c r="C140" s="7" t="s">
        <v>396</v>
      </c>
      <c r="D140" s="392" t="s">
        <v>399</v>
      </c>
      <c r="E140" s="393">
        <v>46193</v>
      </c>
      <c r="F140" s="394">
        <v>46195.729166666664</v>
      </c>
      <c r="G140" s="394">
        <f t="shared" si="13"/>
        <v>46197.229166666664</v>
      </c>
      <c r="H140" s="391">
        <v>36</v>
      </c>
      <c r="I140" s="394">
        <f t="shared" si="8"/>
        <v>46197.895833333328</v>
      </c>
      <c r="J140" s="126">
        <v>16</v>
      </c>
    </row>
    <row r="141" spans="1:10" ht="28.8" x14ac:dyDescent="0.3">
      <c r="A141" s="246" t="s">
        <v>278</v>
      </c>
      <c r="B141" s="32" t="s">
        <v>232</v>
      </c>
      <c r="C141" s="7" t="s">
        <v>396</v>
      </c>
      <c r="D141" s="438" t="s">
        <v>486</v>
      </c>
      <c r="E141" s="54">
        <v>46194</v>
      </c>
      <c r="F141" s="180">
        <v>46197.125</v>
      </c>
      <c r="G141" s="180">
        <f t="shared" si="13"/>
        <v>46199.125</v>
      </c>
      <c r="H141" s="32">
        <v>48</v>
      </c>
      <c r="I141" s="180">
        <f t="shared" si="8"/>
        <v>46199.791666666664</v>
      </c>
      <c r="J141" s="126">
        <v>16</v>
      </c>
    </row>
    <row r="142" spans="1:10" x14ac:dyDescent="0.3">
      <c r="A142" s="246" t="s">
        <v>278</v>
      </c>
      <c r="B142" s="32" t="s">
        <v>232</v>
      </c>
      <c r="C142" s="7" t="s">
        <v>396</v>
      </c>
      <c r="D142" s="392" t="s">
        <v>400</v>
      </c>
      <c r="E142" s="54">
        <v>46199</v>
      </c>
      <c r="F142" s="180">
        <v>46201.4375</v>
      </c>
      <c r="G142" s="180">
        <f t="shared" si="13"/>
        <v>46202.4375</v>
      </c>
      <c r="H142" s="32">
        <v>24</v>
      </c>
      <c r="I142" s="180">
        <f t="shared" si="8"/>
        <v>46203.104166666664</v>
      </c>
      <c r="J142" s="126">
        <v>16</v>
      </c>
    </row>
    <row r="143" spans="1:10" x14ac:dyDescent="0.3">
      <c r="A143" s="246" t="s">
        <v>278</v>
      </c>
      <c r="B143" s="32" t="s">
        <v>232</v>
      </c>
      <c r="C143" s="7" t="s">
        <v>396</v>
      </c>
      <c r="D143" s="397" t="s">
        <v>487</v>
      </c>
      <c r="E143" s="54">
        <v>46210</v>
      </c>
      <c r="F143" s="180">
        <v>46212.067361111112</v>
      </c>
      <c r="G143" s="180">
        <f t="shared" si="13"/>
        <v>46213.067361111112</v>
      </c>
      <c r="H143" s="32">
        <v>24</v>
      </c>
      <c r="I143" s="180">
        <f t="shared" si="8"/>
        <v>46213.734027777777</v>
      </c>
      <c r="J143" s="126">
        <v>16</v>
      </c>
    </row>
    <row r="144" spans="1:10" x14ac:dyDescent="0.3">
      <c r="A144" s="379" t="s">
        <v>278</v>
      </c>
      <c r="B144" s="243" t="s">
        <v>232</v>
      </c>
      <c r="C144" s="244" t="s">
        <v>396</v>
      </c>
      <c r="D144" s="397" t="s">
        <v>401</v>
      </c>
      <c r="E144" s="54">
        <v>46212</v>
      </c>
      <c r="F144" s="180">
        <v>46214.067361111112</v>
      </c>
      <c r="G144" s="245">
        <f t="shared" ref="G144:G153" si="14">F144+(H144/24)</f>
        <v>46215.067361111112</v>
      </c>
      <c r="H144" s="32">
        <v>24</v>
      </c>
      <c r="I144" s="245">
        <f>G144+(J144/24)</f>
        <v>46215.734027777777</v>
      </c>
      <c r="J144" s="126">
        <v>16</v>
      </c>
    </row>
    <row r="145" spans="1:25" ht="15" thickBot="1" x14ac:dyDescent="0.35">
      <c r="A145" s="399" t="s">
        <v>278</v>
      </c>
      <c r="B145" s="400" t="s">
        <v>232</v>
      </c>
      <c r="C145" s="401" t="s">
        <v>396</v>
      </c>
      <c r="D145" s="402" t="s">
        <v>402</v>
      </c>
      <c r="E145" s="240">
        <v>46220</v>
      </c>
      <c r="F145" s="183">
        <v>46222.722916666666</v>
      </c>
      <c r="G145" s="205">
        <f t="shared" si="14"/>
        <v>46223.722916666666</v>
      </c>
      <c r="H145" s="184">
        <v>24</v>
      </c>
      <c r="I145" s="205">
        <f>G145+(J145/24)</f>
        <v>46224.38958333333</v>
      </c>
      <c r="J145" s="127">
        <v>16</v>
      </c>
    </row>
    <row r="146" spans="1:25" x14ac:dyDescent="0.3">
      <c r="A146" s="246" t="s">
        <v>278</v>
      </c>
      <c r="B146" s="32" t="s">
        <v>64</v>
      </c>
      <c r="C146" s="7" t="s">
        <v>403</v>
      </c>
      <c r="D146" s="392" t="s">
        <v>404</v>
      </c>
      <c r="E146" s="242">
        <v>46193</v>
      </c>
      <c r="F146" s="181">
        <v>46195.25</v>
      </c>
      <c r="G146" s="181">
        <f t="shared" si="14"/>
        <v>46197.25</v>
      </c>
      <c r="H146" s="398">
        <v>48</v>
      </c>
      <c r="I146" s="181">
        <f>G146+(J146/24)</f>
        <v>46197.5</v>
      </c>
      <c r="J146" s="398">
        <v>6</v>
      </c>
    </row>
    <row r="147" spans="1:25" x14ac:dyDescent="0.3">
      <c r="A147" s="246" t="s">
        <v>278</v>
      </c>
      <c r="B147" s="32" t="s">
        <v>20</v>
      </c>
      <c r="C147" s="7" t="s">
        <v>405</v>
      </c>
      <c r="D147" s="392" t="s">
        <v>470</v>
      </c>
      <c r="E147" s="54">
        <v>46193</v>
      </c>
      <c r="F147" s="180">
        <v>46196.25</v>
      </c>
      <c r="G147" s="180">
        <f t="shared" si="14"/>
        <v>46199.25</v>
      </c>
      <c r="H147" s="32">
        <v>72</v>
      </c>
      <c r="I147" s="180">
        <f>G147+(J147/24)</f>
        <v>46200.75</v>
      </c>
      <c r="J147" s="32">
        <v>36</v>
      </c>
    </row>
    <row r="148" spans="1:25" x14ac:dyDescent="0.3">
      <c r="A148" s="246" t="s">
        <v>278</v>
      </c>
      <c r="B148" s="32" t="s">
        <v>20</v>
      </c>
      <c r="C148" s="7" t="s">
        <v>479</v>
      </c>
      <c r="D148" s="392" t="s">
        <v>480</v>
      </c>
      <c r="E148" s="242">
        <v>46201</v>
      </c>
      <c r="F148" s="181">
        <v>46203.729166666664</v>
      </c>
      <c r="G148" s="181">
        <f t="shared" si="14"/>
        <v>46206.729166666664</v>
      </c>
      <c r="H148" s="170">
        <v>72</v>
      </c>
      <c r="I148" s="181">
        <f t="shared" ref="I148:I156" si="15">G148+(J148/24)</f>
        <v>46208.229166666664</v>
      </c>
      <c r="J148" s="32">
        <v>36</v>
      </c>
    </row>
    <row r="149" spans="1:25" x14ac:dyDescent="0.3">
      <c r="A149" s="246" t="s">
        <v>278</v>
      </c>
      <c r="B149" s="32" t="s">
        <v>20</v>
      </c>
      <c r="C149" s="7" t="s">
        <v>479</v>
      </c>
      <c r="D149" s="392" t="s">
        <v>471</v>
      </c>
      <c r="E149" s="242">
        <v>46206</v>
      </c>
      <c r="F149" s="181">
        <v>46208.125</v>
      </c>
      <c r="G149" s="181">
        <f t="shared" si="14"/>
        <v>46211.125</v>
      </c>
      <c r="H149" s="398">
        <v>72</v>
      </c>
      <c r="I149" s="181">
        <f t="shared" si="15"/>
        <v>46212.625</v>
      </c>
      <c r="J149" s="32">
        <v>36</v>
      </c>
    </row>
    <row r="150" spans="1:25" x14ac:dyDescent="0.3">
      <c r="A150" s="246" t="s">
        <v>278</v>
      </c>
      <c r="B150" s="32" t="s">
        <v>20</v>
      </c>
      <c r="C150" s="7" t="s">
        <v>479</v>
      </c>
      <c r="D150" s="392" t="s">
        <v>472</v>
      </c>
      <c r="E150" s="242">
        <v>46208</v>
      </c>
      <c r="F150" s="181">
        <v>46210.458333333336</v>
      </c>
      <c r="G150" s="181">
        <f t="shared" si="14"/>
        <v>46213.458333333336</v>
      </c>
      <c r="H150" s="398">
        <v>72</v>
      </c>
      <c r="I150" s="181">
        <f t="shared" si="15"/>
        <v>46214.958333333336</v>
      </c>
      <c r="J150" s="32">
        <v>36</v>
      </c>
    </row>
    <row r="151" spans="1:25" x14ac:dyDescent="0.3">
      <c r="A151" s="246" t="s">
        <v>278</v>
      </c>
      <c r="B151" s="32" t="s">
        <v>20</v>
      </c>
      <c r="C151" s="7" t="s">
        <v>405</v>
      </c>
      <c r="D151" s="392" t="s">
        <v>473</v>
      </c>
      <c r="E151" s="242">
        <v>46212</v>
      </c>
      <c r="F151" s="181">
        <v>46214.375</v>
      </c>
      <c r="G151" s="181">
        <f t="shared" si="14"/>
        <v>46217.375</v>
      </c>
      <c r="H151" s="398">
        <v>72</v>
      </c>
      <c r="I151" s="181">
        <f t="shared" si="15"/>
        <v>46218.875</v>
      </c>
      <c r="J151" s="32">
        <v>36</v>
      </c>
    </row>
    <row r="152" spans="1:25" x14ac:dyDescent="0.3">
      <c r="A152" s="246" t="s">
        <v>278</v>
      </c>
      <c r="B152" s="32" t="s">
        <v>20</v>
      </c>
      <c r="C152" s="7" t="s">
        <v>405</v>
      </c>
      <c r="D152" s="392" t="s">
        <v>474</v>
      </c>
      <c r="E152" s="242">
        <v>46215</v>
      </c>
      <c r="F152" s="181">
        <v>46217.229166666664</v>
      </c>
      <c r="G152" s="181">
        <f t="shared" si="14"/>
        <v>46220.229166666664</v>
      </c>
      <c r="H152" s="398">
        <v>72</v>
      </c>
      <c r="I152" s="181">
        <f t="shared" si="15"/>
        <v>46221.729166666664</v>
      </c>
      <c r="J152" s="32">
        <v>36</v>
      </c>
    </row>
    <row r="153" spans="1:25" x14ac:dyDescent="0.3">
      <c r="A153" s="246" t="s">
        <v>278</v>
      </c>
      <c r="B153" s="32" t="s">
        <v>20</v>
      </c>
      <c r="C153" s="7" t="s">
        <v>405</v>
      </c>
      <c r="D153" s="392" t="s">
        <v>475</v>
      </c>
      <c r="E153" s="242">
        <v>46224</v>
      </c>
      <c r="F153" s="181">
        <v>46226.8125</v>
      </c>
      <c r="G153" s="181">
        <f t="shared" si="14"/>
        <v>46229.8125</v>
      </c>
      <c r="H153" s="398">
        <v>72</v>
      </c>
      <c r="I153" s="181">
        <f t="shared" si="15"/>
        <v>46231.3125</v>
      </c>
      <c r="J153" s="32">
        <v>36</v>
      </c>
    </row>
    <row r="154" spans="1:25" x14ac:dyDescent="0.3">
      <c r="A154" s="246" t="s">
        <v>278</v>
      </c>
      <c r="B154" s="32" t="s">
        <v>20</v>
      </c>
      <c r="C154" s="7" t="s">
        <v>405</v>
      </c>
      <c r="D154" s="392" t="s">
        <v>476</v>
      </c>
      <c r="E154" s="242">
        <v>46229</v>
      </c>
      <c r="F154" s="181">
        <v>46231.9375</v>
      </c>
      <c r="G154" s="181">
        <f t="shared" ref="G154:G156" si="16">F154+(H154/24)</f>
        <v>46234.9375</v>
      </c>
      <c r="H154" s="398">
        <v>72</v>
      </c>
      <c r="I154" s="181">
        <f t="shared" si="15"/>
        <v>46236.4375</v>
      </c>
      <c r="J154" s="32">
        <v>36</v>
      </c>
    </row>
    <row r="155" spans="1:25" x14ac:dyDescent="0.3">
      <c r="A155" s="246" t="s">
        <v>278</v>
      </c>
      <c r="B155" s="32" t="s">
        <v>20</v>
      </c>
      <c r="C155" s="7" t="s">
        <v>405</v>
      </c>
      <c r="D155" s="392" t="s">
        <v>477</v>
      </c>
      <c r="E155" s="242">
        <v>46231</v>
      </c>
      <c r="F155" s="181">
        <v>46233</v>
      </c>
      <c r="G155" s="181">
        <f t="shared" si="16"/>
        <v>46236</v>
      </c>
      <c r="H155" s="398">
        <v>72</v>
      </c>
      <c r="I155" s="181">
        <f t="shared" si="15"/>
        <v>46237.5</v>
      </c>
      <c r="J155" s="32">
        <v>36</v>
      </c>
    </row>
    <row r="156" spans="1:25" x14ac:dyDescent="0.3">
      <c r="A156" s="246" t="s">
        <v>278</v>
      </c>
      <c r="B156" s="32" t="s">
        <v>20</v>
      </c>
      <c r="C156" s="7" t="s">
        <v>405</v>
      </c>
      <c r="D156" s="392" t="s">
        <v>478</v>
      </c>
      <c r="E156" s="54">
        <v>46357</v>
      </c>
      <c r="F156" s="181">
        <v>46361</v>
      </c>
      <c r="G156" s="181">
        <f t="shared" si="16"/>
        <v>46364</v>
      </c>
      <c r="H156" s="398">
        <v>72</v>
      </c>
      <c r="I156" s="180">
        <f t="shared" si="15"/>
        <v>46365.5</v>
      </c>
      <c r="J156" s="32">
        <v>36</v>
      </c>
    </row>
    <row r="157" spans="1:25" x14ac:dyDescent="0.3">
      <c r="A157" s="246" t="s">
        <v>278</v>
      </c>
      <c r="B157" s="32" t="s">
        <v>20</v>
      </c>
      <c r="C157" s="7" t="s">
        <v>406</v>
      </c>
      <c r="D157" s="392" t="s">
        <v>407</v>
      </c>
      <c r="E157" s="54">
        <v>46930</v>
      </c>
      <c r="F157" s="336">
        <v>46201.854166666664</v>
      </c>
      <c r="G157" s="180">
        <f t="shared" si="13"/>
        <v>46207.229166666664</v>
      </c>
      <c r="H157" s="32">
        <v>129</v>
      </c>
      <c r="I157" s="180">
        <f t="shared" si="8"/>
        <v>46208.729166666664</v>
      </c>
      <c r="J157" s="32">
        <v>36</v>
      </c>
    </row>
    <row r="158" spans="1:25" x14ac:dyDescent="0.3">
      <c r="A158" s="335" t="s">
        <v>278</v>
      </c>
      <c r="B158" s="32" t="s">
        <v>20</v>
      </c>
      <c r="C158" s="7" t="s">
        <v>408</v>
      </c>
      <c r="D158" s="362" t="s">
        <v>409</v>
      </c>
      <c r="E158" s="54">
        <v>46186</v>
      </c>
      <c r="F158" s="336">
        <v>46189.25</v>
      </c>
      <c r="G158" s="180">
        <f>F158+(H158/24)</f>
        <v>46193.25</v>
      </c>
      <c r="H158" s="32">
        <v>96</v>
      </c>
      <c r="I158" s="180">
        <f>G158+(J158/24)</f>
        <v>46194.75</v>
      </c>
      <c r="J158" s="32">
        <v>36</v>
      </c>
    </row>
    <row r="159" spans="1:25" x14ac:dyDescent="0.3">
      <c r="A159" s="335" t="s">
        <v>278</v>
      </c>
      <c r="B159" s="243" t="s">
        <v>20</v>
      </c>
      <c r="C159" s="244" t="s">
        <v>408</v>
      </c>
      <c r="D159" s="420" t="s">
        <v>410</v>
      </c>
      <c r="E159" s="421">
        <v>46327</v>
      </c>
      <c r="F159" s="336">
        <v>46330.25</v>
      </c>
      <c r="G159" s="245">
        <f t="shared" si="13"/>
        <v>46334.25</v>
      </c>
      <c r="H159" s="243">
        <v>96</v>
      </c>
      <c r="I159" s="245">
        <f t="shared" si="8"/>
        <v>46335.75</v>
      </c>
      <c r="J159" s="243">
        <v>36</v>
      </c>
      <c r="K159" s="422"/>
      <c r="L159" s="422"/>
      <c r="M159" s="422"/>
      <c r="N159" s="422"/>
      <c r="O159" s="422"/>
      <c r="P159" s="422"/>
      <c r="Q159" s="422"/>
      <c r="R159" s="422"/>
      <c r="S159" s="422"/>
      <c r="T159" s="422"/>
      <c r="U159" s="422"/>
      <c r="V159" s="422"/>
      <c r="W159" s="422"/>
      <c r="X159" s="422"/>
      <c r="Y159" s="422"/>
    </row>
    <row r="160" spans="1:25" x14ac:dyDescent="0.3">
      <c r="A160" s="335" t="s">
        <v>278</v>
      </c>
      <c r="B160" s="243" t="s">
        <v>20</v>
      </c>
      <c r="C160" s="244" t="s">
        <v>408</v>
      </c>
      <c r="D160" s="420" t="s">
        <v>411</v>
      </c>
      <c r="E160" s="421">
        <v>46334</v>
      </c>
      <c r="F160" s="336">
        <v>46334.25</v>
      </c>
      <c r="G160" s="245">
        <f t="shared" si="13"/>
        <v>46338.25</v>
      </c>
      <c r="H160" s="243">
        <v>96</v>
      </c>
      <c r="I160" s="245">
        <f t="shared" si="8"/>
        <v>46339.75</v>
      </c>
      <c r="J160" s="243">
        <v>36</v>
      </c>
      <c r="K160" s="422"/>
      <c r="L160" s="422"/>
      <c r="M160" s="422"/>
      <c r="N160" s="422"/>
      <c r="O160" s="422"/>
      <c r="P160" s="422"/>
      <c r="Q160" s="422"/>
      <c r="R160" s="422"/>
      <c r="S160" s="422"/>
      <c r="T160" s="422"/>
      <c r="U160" s="422"/>
      <c r="V160" s="422"/>
      <c r="W160" s="422"/>
      <c r="X160" s="422"/>
      <c r="Y160" s="422"/>
    </row>
    <row r="161" spans="1:25" x14ac:dyDescent="0.3">
      <c r="A161" s="335" t="s">
        <v>278</v>
      </c>
      <c r="B161" s="243" t="s">
        <v>20</v>
      </c>
      <c r="C161" s="244" t="s">
        <v>408</v>
      </c>
      <c r="D161" s="420" t="s">
        <v>412</v>
      </c>
      <c r="E161" s="421">
        <v>46341</v>
      </c>
      <c r="F161" s="336">
        <v>46344.25</v>
      </c>
      <c r="G161" s="245">
        <f t="shared" si="13"/>
        <v>46348.25</v>
      </c>
      <c r="H161" s="243">
        <v>96</v>
      </c>
      <c r="I161" s="245">
        <f t="shared" si="8"/>
        <v>46349.75</v>
      </c>
      <c r="J161" s="243">
        <v>36</v>
      </c>
      <c r="K161" s="422"/>
      <c r="L161" s="422"/>
      <c r="M161" s="422"/>
      <c r="N161" s="422"/>
      <c r="O161" s="422"/>
      <c r="P161" s="422"/>
      <c r="Q161" s="422"/>
      <c r="R161" s="422"/>
      <c r="S161" s="422"/>
      <c r="T161" s="422"/>
      <c r="U161" s="422"/>
      <c r="V161" s="422"/>
      <c r="W161" s="422"/>
      <c r="X161" s="422"/>
      <c r="Y161" s="422"/>
    </row>
    <row r="162" spans="1:25" x14ac:dyDescent="0.3">
      <c r="A162" s="335" t="s">
        <v>278</v>
      </c>
      <c r="B162" s="243" t="s">
        <v>20</v>
      </c>
      <c r="C162" s="244" t="s">
        <v>408</v>
      </c>
      <c r="D162" s="420" t="s">
        <v>413</v>
      </c>
      <c r="E162" s="421">
        <v>46348</v>
      </c>
      <c r="F162" s="336">
        <v>46351.25</v>
      </c>
      <c r="G162" s="245">
        <f t="shared" si="13"/>
        <v>46355.25</v>
      </c>
      <c r="H162" s="243">
        <v>96</v>
      </c>
      <c r="I162" s="245">
        <f t="shared" si="8"/>
        <v>46356.75</v>
      </c>
      <c r="J162" s="243">
        <v>36</v>
      </c>
      <c r="K162" s="422"/>
      <c r="L162" s="422"/>
      <c r="M162" s="422"/>
      <c r="N162" s="422"/>
      <c r="O162" s="422"/>
      <c r="P162" s="422"/>
      <c r="Q162" s="422"/>
      <c r="R162" s="422"/>
      <c r="S162" s="422"/>
      <c r="T162" s="422"/>
      <c r="U162" s="422"/>
      <c r="V162" s="422"/>
      <c r="W162" s="422"/>
      <c r="X162" s="422"/>
      <c r="Y162" s="422"/>
    </row>
    <row r="163" spans="1:25" x14ac:dyDescent="0.3">
      <c r="A163" s="335" t="s">
        <v>278</v>
      </c>
      <c r="B163" s="243" t="s">
        <v>20</v>
      </c>
      <c r="C163" s="244" t="s">
        <v>408</v>
      </c>
      <c r="D163" s="420" t="s">
        <v>414</v>
      </c>
      <c r="E163" s="421">
        <v>46355</v>
      </c>
      <c r="F163" s="336">
        <v>46358.25</v>
      </c>
      <c r="G163" s="245">
        <f t="shared" si="13"/>
        <v>46362.25</v>
      </c>
      <c r="H163" s="243">
        <v>96</v>
      </c>
      <c r="I163" s="245">
        <f t="shared" si="8"/>
        <v>46363.75</v>
      </c>
      <c r="J163" s="243">
        <v>36</v>
      </c>
      <c r="K163" s="422"/>
      <c r="L163" s="422"/>
      <c r="M163" s="422"/>
      <c r="N163" s="422"/>
      <c r="O163" s="422"/>
      <c r="P163" s="422"/>
      <c r="Q163" s="422"/>
      <c r="R163" s="422"/>
      <c r="S163" s="422"/>
      <c r="T163" s="422"/>
      <c r="U163" s="422"/>
      <c r="V163" s="422"/>
      <c r="W163" s="422"/>
      <c r="X163" s="422"/>
      <c r="Y163" s="422"/>
    </row>
    <row r="164" spans="1:25" s="9" customFormat="1" x14ac:dyDescent="0.3">
      <c r="A164" s="440" t="s">
        <v>278</v>
      </c>
      <c r="B164" s="441" t="s">
        <v>122</v>
      </c>
      <c r="C164" s="442" t="s">
        <v>415</v>
      </c>
      <c r="D164" s="443" t="s">
        <v>416</v>
      </c>
      <c r="E164" s="446">
        <v>46193</v>
      </c>
      <c r="F164" s="447">
        <v>46196.25</v>
      </c>
      <c r="G164" s="448">
        <f t="shared" si="13"/>
        <v>46197.75</v>
      </c>
      <c r="H164" s="441">
        <v>36</v>
      </c>
      <c r="I164" s="448">
        <f t="shared" si="8"/>
        <v>46198.25</v>
      </c>
      <c r="J164" s="441">
        <v>12</v>
      </c>
      <c r="K164" s="449"/>
      <c r="L164" s="449"/>
      <c r="M164" s="449"/>
      <c r="N164" s="449"/>
      <c r="O164" s="449"/>
      <c r="P164" s="449"/>
      <c r="Q164" s="449"/>
      <c r="R164" s="449"/>
      <c r="S164" s="449"/>
      <c r="T164" s="449"/>
      <c r="U164" s="449"/>
      <c r="V164" s="449"/>
      <c r="W164" s="449"/>
      <c r="X164" s="449"/>
      <c r="Y164" s="449"/>
    </row>
    <row r="165" spans="1:25" s="9" customFormat="1" x14ac:dyDescent="0.3">
      <c r="A165" s="440" t="s">
        <v>278</v>
      </c>
      <c r="B165" s="441" t="s">
        <v>122</v>
      </c>
      <c r="C165" s="442" t="s">
        <v>417</v>
      </c>
      <c r="D165" s="443" t="s">
        <v>418</v>
      </c>
      <c r="E165" s="444">
        <v>46200</v>
      </c>
      <c r="F165" s="445">
        <v>46202.916666666664</v>
      </c>
      <c r="G165" s="445">
        <f t="shared" si="13"/>
        <v>46204.416666666664</v>
      </c>
      <c r="H165" s="441">
        <v>36</v>
      </c>
      <c r="I165" s="445">
        <f t="shared" si="8"/>
        <v>46204.916666666664</v>
      </c>
      <c r="J165" s="441">
        <v>12</v>
      </c>
    </row>
    <row r="166" spans="1:25" s="9" customFormat="1" x14ac:dyDescent="0.3">
      <c r="A166" s="440" t="s">
        <v>278</v>
      </c>
      <c r="B166" s="441" t="s">
        <v>122</v>
      </c>
      <c r="C166" s="442" t="s">
        <v>417</v>
      </c>
      <c r="D166" s="443" t="s">
        <v>419</v>
      </c>
      <c r="E166" s="444">
        <v>46203</v>
      </c>
      <c r="F166" s="445">
        <v>46205.375</v>
      </c>
      <c r="G166" s="445">
        <f t="shared" si="13"/>
        <v>46206.875</v>
      </c>
      <c r="H166" s="441">
        <v>36</v>
      </c>
      <c r="I166" s="445">
        <f t="shared" si="8"/>
        <v>46207.375</v>
      </c>
      <c r="J166" s="441">
        <v>12</v>
      </c>
    </row>
    <row r="167" spans="1:25" s="9" customFormat="1" x14ac:dyDescent="0.3">
      <c r="A167" s="440" t="s">
        <v>278</v>
      </c>
      <c r="B167" s="441" t="s">
        <v>122</v>
      </c>
      <c r="C167" s="442" t="s">
        <v>417</v>
      </c>
      <c r="D167" s="443" t="s">
        <v>420</v>
      </c>
      <c r="E167" s="444">
        <v>46209</v>
      </c>
      <c r="F167" s="445">
        <v>46211.229166666664</v>
      </c>
      <c r="G167" s="445">
        <f t="shared" si="13"/>
        <v>46212.729166666664</v>
      </c>
      <c r="H167" s="441">
        <v>36</v>
      </c>
      <c r="I167" s="445">
        <f t="shared" si="8"/>
        <v>46213.229166666664</v>
      </c>
      <c r="J167" s="441">
        <v>12</v>
      </c>
    </row>
    <row r="168" spans="1:25" s="9" customFormat="1" x14ac:dyDescent="0.3">
      <c r="A168" s="440" t="s">
        <v>278</v>
      </c>
      <c r="B168" s="441" t="s">
        <v>122</v>
      </c>
      <c r="C168" s="442" t="s">
        <v>417</v>
      </c>
      <c r="D168" s="443" t="s">
        <v>421</v>
      </c>
      <c r="E168" s="444">
        <v>46218</v>
      </c>
      <c r="F168" s="445">
        <v>46220.229166666664</v>
      </c>
      <c r="G168" s="445">
        <f t="shared" si="13"/>
        <v>46221.729166666664</v>
      </c>
      <c r="H168" s="441">
        <v>36</v>
      </c>
      <c r="I168" s="445">
        <f t="shared" si="8"/>
        <v>46222.229166666664</v>
      </c>
      <c r="J168" s="441">
        <v>12</v>
      </c>
    </row>
    <row r="169" spans="1:25" s="9" customFormat="1" x14ac:dyDescent="0.3">
      <c r="A169" s="440" t="s">
        <v>278</v>
      </c>
      <c r="B169" s="441" t="s">
        <v>122</v>
      </c>
      <c r="C169" s="442" t="s">
        <v>417</v>
      </c>
      <c r="D169" s="443" t="s">
        <v>422</v>
      </c>
      <c r="E169" s="444">
        <v>46222</v>
      </c>
      <c r="F169" s="445">
        <v>46224.1875</v>
      </c>
      <c r="G169" s="445">
        <f t="shared" si="13"/>
        <v>46225.6875</v>
      </c>
      <c r="H169" s="441">
        <v>36</v>
      </c>
      <c r="I169" s="445">
        <f t="shared" si="8"/>
        <v>46226.1875</v>
      </c>
      <c r="J169" s="441">
        <v>12</v>
      </c>
    </row>
    <row r="170" spans="1:25" s="9" customFormat="1" x14ac:dyDescent="0.3">
      <c r="A170" s="440" t="s">
        <v>278</v>
      </c>
      <c r="B170" s="441" t="s">
        <v>122</v>
      </c>
      <c r="C170" s="442" t="s">
        <v>417</v>
      </c>
      <c r="D170" s="443" t="s">
        <v>423</v>
      </c>
      <c r="E170" s="444">
        <v>46227</v>
      </c>
      <c r="F170" s="445">
        <v>46229.729166666664</v>
      </c>
      <c r="G170" s="445">
        <f t="shared" si="13"/>
        <v>46231.229166666664</v>
      </c>
      <c r="H170" s="441">
        <v>36</v>
      </c>
      <c r="I170" s="445">
        <f t="shared" si="8"/>
        <v>46231.729166666664</v>
      </c>
      <c r="J170" s="441">
        <v>12</v>
      </c>
    </row>
    <row r="171" spans="1:25" s="9" customFormat="1" x14ac:dyDescent="0.3">
      <c r="A171" s="440" t="s">
        <v>278</v>
      </c>
      <c r="B171" s="441" t="s">
        <v>122</v>
      </c>
      <c r="C171" s="442" t="s">
        <v>417</v>
      </c>
      <c r="D171" s="443" t="s">
        <v>424</v>
      </c>
      <c r="E171" s="444">
        <v>46233</v>
      </c>
      <c r="F171" s="445">
        <v>46235.645833333336</v>
      </c>
      <c r="G171" s="445">
        <f t="shared" si="13"/>
        <v>46237.145833333336</v>
      </c>
      <c r="H171" s="441">
        <v>36</v>
      </c>
      <c r="I171" s="445">
        <f t="shared" si="8"/>
        <v>46237.645833333336</v>
      </c>
      <c r="J171" s="441">
        <v>12</v>
      </c>
    </row>
    <row r="172" spans="1:25" s="9" customFormat="1" x14ac:dyDescent="0.3">
      <c r="A172" s="440" t="s">
        <v>278</v>
      </c>
      <c r="B172" s="441" t="s">
        <v>122</v>
      </c>
      <c r="C172" s="442" t="s">
        <v>417</v>
      </c>
      <c r="D172" s="443" t="s">
        <v>425</v>
      </c>
      <c r="E172" s="444">
        <v>46238</v>
      </c>
      <c r="F172" s="445">
        <v>46240.833333333336</v>
      </c>
      <c r="G172" s="445">
        <f t="shared" si="13"/>
        <v>46242.333333333336</v>
      </c>
      <c r="H172" s="441">
        <v>36</v>
      </c>
      <c r="I172" s="445">
        <f t="shared" si="8"/>
        <v>46242.833333333336</v>
      </c>
      <c r="J172" s="441">
        <v>12</v>
      </c>
    </row>
    <row r="173" spans="1:25" s="9" customFormat="1" x14ac:dyDescent="0.3">
      <c r="A173" s="440" t="s">
        <v>278</v>
      </c>
      <c r="B173" s="441" t="s">
        <v>122</v>
      </c>
      <c r="C173" s="442" t="s">
        <v>417</v>
      </c>
      <c r="D173" s="443" t="s">
        <v>426</v>
      </c>
      <c r="E173" s="444">
        <v>46241</v>
      </c>
      <c r="F173" s="445">
        <v>46243.75</v>
      </c>
      <c r="G173" s="445">
        <f t="shared" si="13"/>
        <v>46245.25</v>
      </c>
      <c r="H173" s="441">
        <v>36</v>
      </c>
      <c r="I173" s="445">
        <f t="shared" si="8"/>
        <v>46245.75</v>
      </c>
      <c r="J173" s="441">
        <v>12</v>
      </c>
    </row>
    <row r="174" spans="1:25" s="9" customFormat="1" x14ac:dyDescent="0.3">
      <c r="A174" s="450" t="s">
        <v>278</v>
      </c>
      <c r="B174" s="451" t="s">
        <v>122</v>
      </c>
      <c r="C174" s="452" t="s">
        <v>417</v>
      </c>
      <c r="D174" s="453" t="s">
        <v>427</v>
      </c>
      <c r="E174" s="454">
        <v>46248</v>
      </c>
      <c r="F174" s="455">
        <v>46251.479166666664</v>
      </c>
      <c r="G174" s="455">
        <f t="shared" si="13"/>
        <v>46252.979166666664</v>
      </c>
      <c r="H174" s="451">
        <v>36</v>
      </c>
      <c r="I174" s="455">
        <f t="shared" si="8"/>
        <v>46253.479166666664</v>
      </c>
      <c r="J174" s="451">
        <v>12</v>
      </c>
    </row>
    <row r="175" spans="1:25" x14ac:dyDescent="0.3">
      <c r="A175" s="429" t="s">
        <v>278</v>
      </c>
      <c r="B175" s="354" t="s">
        <v>64</v>
      </c>
      <c r="C175" s="429" t="s">
        <v>428</v>
      </c>
      <c r="D175" s="430" t="s">
        <v>429</v>
      </c>
      <c r="E175" s="355">
        <v>46184</v>
      </c>
      <c r="F175" s="356">
        <v>46185</v>
      </c>
      <c r="G175" s="181">
        <f>F175+(H175/24)</f>
        <v>46187</v>
      </c>
      <c r="H175" s="398">
        <v>48</v>
      </c>
      <c r="I175" s="181">
        <f>G175+(J175/24)</f>
        <v>46187.25</v>
      </c>
      <c r="J175" s="431">
        <v>6</v>
      </c>
    </row>
    <row r="176" spans="1:25" x14ac:dyDescent="0.3">
      <c r="A176" s="429" t="s">
        <v>278</v>
      </c>
      <c r="B176" s="354" t="s">
        <v>64</v>
      </c>
      <c r="C176" s="349" t="s">
        <v>430</v>
      </c>
      <c r="D176" s="429" t="s">
        <v>431</v>
      </c>
      <c r="E176" s="355">
        <v>46191</v>
      </c>
      <c r="F176" s="356">
        <v>46192</v>
      </c>
      <c r="G176" s="336">
        <f>F176+(H176/24)</f>
        <v>46194</v>
      </c>
      <c r="H176" s="398">
        <v>48</v>
      </c>
      <c r="I176" s="336">
        <f>G176+(J176/24)</f>
        <v>46194.25</v>
      </c>
      <c r="J176" s="431">
        <v>6</v>
      </c>
    </row>
    <row r="177" spans="1:10" x14ac:dyDescent="0.3">
      <c r="A177" s="349" t="s">
        <v>278</v>
      </c>
      <c r="B177" s="350" t="s">
        <v>64</v>
      </c>
      <c r="C177" s="349" t="s">
        <v>432</v>
      </c>
      <c r="D177" s="349" t="s">
        <v>433</v>
      </c>
      <c r="E177" s="433">
        <v>46191</v>
      </c>
      <c r="F177" s="432">
        <v>46192</v>
      </c>
      <c r="G177" s="336">
        <f>F177+(H177/24)</f>
        <v>46194</v>
      </c>
      <c r="H177" s="434">
        <v>48</v>
      </c>
      <c r="I177" s="336">
        <f>G177+(J177/24)</f>
        <v>46194.25</v>
      </c>
      <c r="J177" s="431">
        <v>6</v>
      </c>
    </row>
    <row r="178" spans="1:10" x14ac:dyDescent="0.3">
      <c r="A178" s="349" t="s">
        <v>278</v>
      </c>
      <c r="B178" s="350" t="s">
        <v>64</v>
      </c>
      <c r="C178" s="349" t="s">
        <v>434</v>
      </c>
      <c r="D178" s="349" t="s">
        <v>435</v>
      </c>
      <c r="E178" s="351">
        <v>46198</v>
      </c>
      <c r="F178" s="352">
        <v>46199.25</v>
      </c>
      <c r="G178" s="336">
        <f>F178+(H178/24)</f>
        <v>46201.25</v>
      </c>
      <c r="H178" s="434">
        <v>48</v>
      </c>
      <c r="I178" s="336">
        <f>G178+(J178/24)</f>
        <v>46201.5</v>
      </c>
      <c r="J178" s="431">
        <v>6</v>
      </c>
    </row>
  </sheetData>
  <autoFilter ref="A1:J174" xr:uid="{E64F7A7C-F00C-4BD1-AABC-21B710242BB1}">
    <filterColumn colId="0">
      <filters blank="1">
        <filter val="Planned"/>
      </filters>
    </filterColumn>
  </autoFilter>
  <phoneticPr fontId="15" type="noConversion"/>
  <hyperlinks>
    <hyperlink ref="D159" r:id="rId1" display="https://app01.kabal.com/mws/f?p=1720:320:3591087192783:ADDBACK:NO::P320_PORT_TASK_ID:60703:" xr:uid="{2CE69447-1583-4285-A3C6-E44253861F50}"/>
    <hyperlink ref="D160" r:id="rId2" display="https://app01.kabal.com/mws/f?p=1720:320:3591087192783:ADDBACK:NO::P320_PORT_TASK_ID:60704:" xr:uid="{9B646115-87F0-4E9B-A26C-E8EDC2346D02}"/>
    <hyperlink ref="D161" r:id="rId3" display="https://app01.kabal.com/mws/f?p=1720:320:3591087192783:ADDBACK:NO::P320_PORT_TASK_ID:60705:" xr:uid="{E88F1C80-86A4-402C-A7FA-01CE4B12C622}"/>
    <hyperlink ref="D162" r:id="rId4" display="https://app01.kabal.com/mws/f?p=1720:320:3591087192783:ADDBACK:NO::P320_PORT_TASK_ID:60706:" xr:uid="{ED524307-DD66-4DB1-9398-118E3CD28160}"/>
    <hyperlink ref="D163" r:id="rId5" display="https://app01.kabal.com/mws/f?p=1720:320:3591087192783:ADDBACK:NO::P320_PORT_TASK_ID:60707:" xr:uid="{2A3CDFC3-31C8-44B2-8428-4BB6443AB947}"/>
    <hyperlink ref="C164" r:id="rId6" xr:uid="{4BF92AC9-6F81-47D3-BADE-793677667278}"/>
    <hyperlink ref="D165" r:id="rId7" xr:uid="{CD88DAD3-3FF4-4E5B-8E2B-399AE5F81F59}"/>
    <hyperlink ref="D166" r:id="rId8" xr:uid="{E7B658C7-FFEB-4978-9A4E-D4E57D76FD92}"/>
    <hyperlink ref="D167" r:id="rId9" xr:uid="{BB857F62-9EFB-4532-9E08-F51A99F5A052}"/>
    <hyperlink ref="D168" r:id="rId10" xr:uid="{EC5EC0AC-3F5B-4A38-BEE4-5ABDE438163E}"/>
    <hyperlink ref="D169" r:id="rId11" xr:uid="{42CF593B-3B32-4FD3-BF01-D92D8C273D20}"/>
  </hyperlinks>
  <pageMargins left="0.7" right="0.7" top="0.75" bottom="0.75" header="0.3" footer="0.3"/>
  <pageSetup paperSize="9" orientation="portrait" r:id="rId12"/>
  <legacyDrawing r:id="rId1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4.4" x14ac:dyDescent="0.3"/>
  <cols>
    <col min="1" max="18" width="9" style="69"/>
    <col min="19" max="19" width="13" style="69" bestFit="1" customWidth="1"/>
    <col min="20" max="16384" width="9" style="69"/>
  </cols>
  <sheetData>
    <row r="1" spans="1:15" ht="15" thickBot="1" x14ac:dyDescent="0.35">
      <c r="B1" s="575" t="s">
        <v>82</v>
      </c>
      <c r="C1" s="576"/>
      <c r="D1" s="576"/>
      <c r="E1" s="577"/>
      <c r="F1" s="575" t="s">
        <v>83</v>
      </c>
      <c r="G1" s="576"/>
      <c r="H1" s="576"/>
      <c r="I1" s="577"/>
      <c r="J1" s="575" t="s">
        <v>72</v>
      </c>
      <c r="K1" s="576"/>
      <c r="L1" s="576"/>
      <c r="M1" s="577"/>
    </row>
    <row r="2" spans="1:15" x14ac:dyDescent="0.3">
      <c r="A2" s="70"/>
      <c r="B2" s="71" t="s">
        <v>436</v>
      </c>
      <c r="C2" s="72" t="s">
        <v>437</v>
      </c>
      <c r="D2" s="72" t="s">
        <v>438</v>
      </c>
      <c r="E2" s="73" t="s">
        <v>439</v>
      </c>
      <c r="F2" s="74" t="s">
        <v>436</v>
      </c>
      <c r="G2" s="72" t="s">
        <v>437</v>
      </c>
      <c r="H2" s="72" t="s">
        <v>438</v>
      </c>
      <c r="I2" s="73" t="s">
        <v>439</v>
      </c>
      <c r="J2" s="74" t="s">
        <v>436</v>
      </c>
      <c r="K2" s="72" t="s">
        <v>437</v>
      </c>
      <c r="L2" s="72" t="s">
        <v>438</v>
      </c>
      <c r="M2" s="73" t="s">
        <v>439</v>
      </c>
    </row>
    <row r="3" spans="1:15" x14ac:dyDescent="0.3">
      <c r="A3" s="75" t="s">
        <v>440</v>
      </c>
      <c r="B3" s="76"/>
      <c r="C3" s="76"/>
      <c r="D3" s="76"/>
      <c r="E3" s="76"/>
      <c r="F3" s="76"/>
      <c r="G3" s="76" t="s">
        <v>441</v>
      </c>
      <c r="H3" s="76"/>
      <c r="I3" s="76"/>
      <c r="J3" s="76"/>
      <c r="K3" s="76"/>
      <c r="L3" s="76"/>
      <c r="M3" s="76"/>
    </row>
    <row r="4" spans="1:15" x14ac:dyDescent="0.3">
      <c r="A4" s="75" t="s">
        <v>442</v>
      </c>
      <c r="B4" s="76"/>
      <c r="C4" s="76"/>
      <c r="D4" s="76"/>
      <c r="E4" s="76"/>
      <c r="F4" s="76"/>
      <c r="G4" s="76" t="s">
        <v>443</v>
      </c>
      <c r="H4" s="76"/>
      <c r="I4" s="76"/>
      <c r="J4" s="76"/>
      <c r="K4" s="76"/>
      <c r="L4" s="76"/>
      <c r="M4" s="76"/>
    </row>
    <row r="5" spans="1:15" x14ac:dyDescent="0.3">
      <c r="A5" s="75" t="s">
        <v>444</v>
      </c>
      <c r="B5" s="76"/>
      <c r="C5" s="76"/>
      <c r="D5" s="76"/>
      <c r="E5" s="76"/>
      <c r="F5" s="76"/>
      <c r="G5" s="76" t="s">
        <v>445</v>
      </c>
      <c r="H5" s="76"/>
      <c r="I5" s="76"/>
      <c r="J5" s="76"/>
      <c r="K5" s="76"/>
      <c r="L5" s="76"/>
      <c r="M5" s="76"/>
    </row>
    <row r="6" spans="1:15" x14ac:dyDescent="0.3">
      <c r="A6" s="75" t="s">
        <v>446</v>
      </c>
      <c r="B6" s="77"/>
      <c r="C6" s="78"/>
      <c r="D6" s="78"/>
      <c r="E6" s="79"/>
      <c r="F6" s="80"/>
      <c r="G6" s="81" t="s">
        <v>447</v>
      </c>
      <c r="H6" s="78"/>
      <c r="I6" s="79"/>
      <c r="J6" s="80"/>
      <c r="K6" s="78"/>
      <c r="L6" s="78"/>
      <c r="M6" s="79"/>
    </row>
    <row r="7" spans="1:15" x14ac:dyDescent="0.3">
      <c r="A7" s="75" t="s">
        <v>448</v>
      </c>
      <c r="B7" s="77"/>
      <c r="C7" s="78"/>
      <c r="D7" s="78"/>
      <c r="E7" s="79"/>
      <c r="F7" s="80"/>
      <c r="G7" s="81" t="s">
        <v>449</v>
      </c>
      <c r="H7" s="78"/>
      <c r="I7" s="79"/>
      <c r="J7" s="80"/>
      <c r="K7" s="78"/>
      <c r="L7" s="78"/>
      <c r="M7" s="79"/>
      <c r="O7" s="69" t="s">
        <v>18</v>
      </c>
    </row>
    <row r="8" spans="1:15" x14ac:dyDescent="0.3">
      <c r="A8" s="75" t="s">
        <v>450</v>
      </c>
      <c r="B8" s="77"/>
      <c r="C8" s="78"/>
      <c r="D8" s="78"/>
      <c r="E8" s="79"/>
      <c r="F8" s="80"/>
      <c r="G8" s="81" t="s">
        <v>451</v>
      </c>
      <c r="H8" s="78"/>
      <c r="I8" s="79"/>
      <c r="J8" s="80"/>
      <c r="K8" s="78"/>
      <c r="L8" s="78"/>
      <c r="M8" s="79"/>
    </row>
    <row r="9" spans="1:15" x14ac:dyDescent="0.3">
      <c r="A9" s="75" t="s">
        <v>452</v>
      </c>
      <c r="B9" s="82"/>
      <c r="C9" s="83"/>
      <c r="D9" s="83"/>
      <c r="E9" s="84"/>
      <c r="F9" s="85"/>
      <c r="G9" s="86" t="s">
        <v>453</v>
      </c>
      <c r="H9" s="83"/>
      <c r="I9" s="84"/>
      <c r="J9" s="85"/>
      <c r="K9" s="83"/>
      <c r="L9" s="83"/>
      <c r="M9" s="84"/>
    </row>
    <row r="10" spans="1:15" x14ac:dyDescent="0.3">
      <c r="A10" s="75" t="s">
        <v>454</v>
      </c>
      <c r="B10" s="87"/>
      <c r="C10" s="87"/>
      <c r="D10" s="87"/>
      <c r="E10" s="87"/>
      <c r="F10" s="87"/>
      <c r="G10" s="87" t="s">
        <v>455</v>
      </c>
      <c r="H10" s="87"/>
      <c r="I10" s="87"/>
      <c r="J10" s="87"/>
      <c r="K10" s="87"/>
      <c r="L10" s="87"/>
      <c r="M10" s="87"/>
    </row>
    <row r="11" spans="1:15" x14ac:dyDescent="0.3">
      <c r="A11" s="75" t="s">
        <v>456</v>
      </c>
      <c r="B11" s="88"/>
      <c r="C11" s="89"/>
      <c r="D11" s="89"/>
      <c r="E11" s="90"/>
      <c r="F11" s="91"/>
      <c r="G11" s="92" t="s">
        <v>457</v>
      </c>
      <c r="H11" s="89"/>
      <c r="I11" s="90"/>
      <c r="J11" s="91"/>
      <c r="K11" s="89"/>
      <c r="L11" s="89"/>
      <c r="M11" s="90"/>
    </row>
    <row r="12" spans="1:15" x14ac:dyDescent="0.3">
      <c r="A12" s="75" t="s">
        <v>458</v>
      </c>
      <c r="B12" s="93"/>
      <c r="C12" s="94"/>
      <c r="D12" s="94"/>
      <c r="E12" s="95"/>
      <c r="F12" s="96"/>
      <c r="G12" s="97" t="s">
        <v>459</v>
      </c>
      <c r="H12" s="94"/>
      <c r="I12" s="95"/>
      <c r="J12" s="96"/>
      <c r="K12" s="94"/>
      <c r="L12" s="94"/>
      <c r="M12" s="95"/>
    </row>
    <row r="13" spans="1:15" x14ac:dyDescent="0.3">
      <c r="A13" s="75" t="s">
        <v>460</v>
      </c>
      <c r="B13" s="93"/>
      <c r="C13" s="94"/>
      <c r="D13" s="94"/>
      <c r="E13" s="95"/>
      <c r="F13" s="96"/>
      <c r="G13" s="578" t="s">
        <v>110</v>
      </c>
      <c r="H13" s="579"/>
      <c r="I13" s="580"/>
      <c r="J13" s="98" t="s">
        <v>461</v>
      </c>
      <c r="K13" s="86" t="s">
        <v>461</v>
      </c>
      <c r="L13" s="99"/>
      <c r="M13" s="100"/>
    </row>
    <row r="14" spans="1:15" x14ac:dyDescent="0.3">
      <c r="A14" s="75" t="s">
        <v>462</v>
      </c>
      <c r="B14" s="101"/>
      <c r="C14" s="101" t="s">
        <v>64</v>
      </c>
      <c r="D14" s="101"/>
      <c r="E14" s="101"/>
      <c r="F14" s="86" t="s">
        <v>461</v>
      </c>
      <c r="G14" s="86" t="s">
        <v>461</v>
      </c>
      <c r="H14" s="86" t="s">
        <v>461</v>
      </c>
      <c r="I14" s="86" t="s">
        <v>461</v>
      </c>
      <c r="J14" s="98" t="s">
        <v>461</v>
      </c>
      <c r="K14" s="86" t="s">
        <v>461</v>
      </c>
      <c r="L14" s="86" t="s">
        <v>461</v>
      </c>
      <c r="M14" s="86" t="s">
        <v>461</v>
      </c>
      <c r="O14" s="69" t="s">
        <v>18</v>
      </c>
    </row>
    <row r="15" spans="1:15" x14ac:dyDescent="0.3">
      <c r="A15" s="75" t="s">
        <v>463</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3">
      <c r="A16" s="75" t="s">
        <v>464</v>
      </c>
      <c r="B16" s="102"/>
      <c r="C16" s="103"/>
      <c r="D16" s="103"/>
      <c r="E16" s="80" t="s">
        <v>163</v>
      </c>
      <c r="F16" s="96" t="s">
        <v>161</v>
      </c>
      <c r="G16" s="96" t="s">
        <v>161</v>
      </c>
      <c r="H16" s="96" t="s">
        <v>161</v>
      </c>
      <c r="I16" s="96" t="s">
        <v>161</v>
      </c>
      <c r="J16" s="96" t="s">
        <v>161</v>
      </c>
      <c r="K16" s="96" t="s">
        <v>161</v>
      </c>
      <c r="L16" s="96" t="s">
        <v>161</v>
      </c>
      <c r="M16" s="96" t="s">
        <v>161</v>
      </c>
    </row>
    <row r="17" spans="1:13" x14ac:dyDescent="0.3">
      <c r="A17" s="75" t="s">
        <v>465</v>
      </c>
      <c r="B17" s="87" t="s">
        <v>160</v>
      </c>
      <c r="C17" s="87" t="s">
        <v>160</v>
      </c>
      <c r="D17" s="103"/>
      <c r="E17" s="107" t="s">
        <v>159</v>
      </c>
      <c r="F17" s="106"/>
      <c r="G17" s="103"/>
      <c r="H17" s="96" t="s">
        <v>161</v>
      </c>
      <c r="I17" s="96" t="s">
        <v>161</v>
      </c>
      <c r="J17" s="96" t="s">
        <v>161</v>
      </c>
      <c r="K17" s="103"/>
      <c r="L17" s="103"/>
      <c r="M17" s="103"/>
    </row>
    <row r="18" spans="1:13" x14ac:dyDescent="0.3">
      <c r="A18" s="75" t="s">
        <v>466</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3">
      <c r="A19" s="75" t="s">
        <v>467</v>
      </c>
      <c r="B19" s="102"/>
      <c r="C19" s="103"/>
      <c r="D19" s="108" t="s">
        <v>110</v>
      </c>
      <c r="E19" s="109" t="s">
        <v>110</v>
      </c>
      <c r="F19" s="110" t="s">
        <v>110</v>
      </c>
      <c r="G19" s="108" t="s">
        <v>110</v>
      </c>
      <c r="H19" s="108" t="s">
        <v>110</v>
      </c>
      <c r="I19" s="109" t="s">
        <v>110</v>
      </c>
      <c r="J19" s="103"/>
      <c r="K19" s="103"/>
      <c r="L19" s="103"/>
      <c r="M19" s="103"/>
    </row>
    <row r="20" spans="1:13" ht="15" thickBot="1" x14ac:dyDescent="0.35">
      <c r="A20" s="111" t="s">
        <v>468</v>
      </c>
      <c r="B20" s="112"/>
      <c r="C20" s="113"/>
      <c r="D20" s="114" t="s">
        <v>461</v>
      </c>
      <c r="E20" s="115" t="s">
        <v>461</v>
      </c>
      <c r="F20" s="103"/>
      <c r="G20" s="103"/>
      <c r="H20" s="103"/>
      <c r="I20" s="103"/>
      <c r="J20" s="103"/>
      <c r="K20" s="103"/>
      <c r="L20" s="103"/>
      <c r="M20" s="103"/>
    </row>
    <row r="22" spans="1:13" x14ac:dyDescent="0.3">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C73227B-6E13-4F91-A067-CFE89F5B7659}">
  <ds:schemaRefs>
    <ds:schemaRef ds:uri="http://schemas.microsoft.com/sharepoint/v3/contenttype/forms"/>
  </ds:schemaRefs>
</ds:datastoreItem>
</file>

<file path=customXml/itemProps2.xml><?xml version="1.0" encoding="utf-8"?>
<ds:datastoreItem xmlns:ds="http://schemas.openxmlformats.org/officeDocument/2006/customXml" ds:itemID="{FE8C99E3-3621-4A94-B7E8-DFCD24F34FA6}">
  <ds:schemaRefs>
    <ds:schemaRef ds:uri="b2778aaa-fd83-416e-8091-738aa96f6cd3"/>
    <ds:schemaRef ds:uri="http://schemas.microsoft.com/office/infopath/2007/PartnerControls"/>
    <ds:schemaRef ds:uri="http://schemas.microsoft.com/office/2006/metadata/properties"/>
    <ds:schemaRef ds:uri="http://schemas.microsoft.com/office/2006/documentManagement/types"/>
    <ds:schemaRef ds:uri="91455a6e-8899-4f67-a6e4-e187ec74b863"/>
    <ds:schemaRef ds:uri="http://purl.org/dc/dcmitype/"/>
    <ds:schemaRef ds:uri="http://www.w3.org/XML/1998/namespace"/>
    <ds:schemaRef ds:uri="http://purl.org/dc/terms/"/>
    <ds:schemaRef ds:uri="http://schemas.openxmlformats.org/package/2006/metadata/core-properties"/>
    <ds:schemaRef ds:uri="http://schemas.microsoft.com/sharepoint/v3"/>
    <ds:schemaRef ds:uri="http://purl.org/dc/elements/1.1/"/>
  </ds:schemaRefs>
</ds:datastoreItem>
</file>

<file path=customXml/itemProps3.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SEPCO-PTC/U/DDL</cp:lastModifiedBy>
  <cp:revision/>
  <dcterms:created xsi:type="dcterms:W3CDTF">2021-12-27T22:07:09Z</dcterms:created>
  <dcterms:modified xsi:type="dcterms:W3CDTF">2026-06-20T14:35:50Z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